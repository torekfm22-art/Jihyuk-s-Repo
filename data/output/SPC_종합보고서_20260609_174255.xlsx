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대시보드" sheetId="1" state="visible" r:id="rId1"/>
    <sheet xmlns:r="http://schemas.openxmlformats.org/officeDocument/2006/relationships" name="용어_초보가이드" sheetId="2" state="visible" r:id="rId2"/>
    <sheet xmlns:r="http://schemas.openxmlformats.org/officeDocument/2006/relationships" name="검증_수식연계" sheetId="3" state="visible" r:id="rId3"/>
    <sheet xmlns:r="http://schemas.openxmlformats.org/officeDocument/2006/relationships" name="종합" sheetId="4" state="visible" r:id="rId4"/>
    <sheet xmlns:r="http://schemas.openxmlformats.org/officeDocument/2006/relationships" name="정규성검정" sheetId="5" state="visible" r:id="rId5"/>
    <sheet xmlns:r="http://schemas.openxmlformats.org/officeDocument/2006/relationships" name="관리한계" sheetId="6" state="visible" r:id="rId6"/>
    <sheet xmlns:r="http://schemas.openxmlformats.org/officeDocument/2006/relationships" name="공정능력" sheetId="7" state="visible" r:id="rId7"/>
    <sheet xmlns:r="http://schemas.openxmlformats.org/officeDocument/2006/relationships" name="Subgroup통계" sheetId="8" state="visible" r:id="rId8"/>
    <sheet xmlns:r="http://schemas.openxmlformats.org/officeDocument/2006/relationships" name="채취표본" sheetId="9" state="visible" r:id="rId9"/>
    <sheet xmlns:r="http://schemas.openxmlformats.org/officeDocument/2006/relationships" name="판정로그" sheetId="10" state="visible" r:id="rId10"/>
    <sheet xmlns:r="http://schemas.openxmlformats.org/officeDocument/2006/relationships" name="판정요약" sheetId="11" state="visible" r:id="rId11"/>
    <sheet xmlns:r="http://schemas.openxmlformats.org/officeDocument/2006/relationships" name="전문가해석" sheetId="12" state="visible" r:id="rId12"/>
    <sheet xmlns:r="http://schemas.openxmlformats.org/officeDocument/2006/relationships" name="AIAG_VDA점검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23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9"/>
    </font>
    <font>
      <b val="1"/>
      <color rgb="001F4E79"/>
      <sz val="11"/>
    </font>
    <font>
      <b val="1"/>
      <color rgb="00006100"/>
      <sz val="14"/>
    </font>
    <font>
      <b val="1"/>
      <sz val="10"/>
    </font>
    <font>
      <b val="1"/>
      <sz val="9"/>
    </font>
    <font>
      <sz val="9"/>
    </font>
    <font>
      <b val="1"/>
      <color rgb="00FFFFFF"/>
      <sz val="10"/>
    </font>
    <font>
      <sz val="8"/>
    </font>
    <font>
      <b val="1"/>
      <color rgb="001F4E79"/>
      <sz val="16"/>
    </font>
    <font>
      <color rgb="00555555"/>
      <sz val="9"/>
    </font>
    <font>
      <b val="1"/>
      <color rgb="00555555"/>
      <sz val="10"/>
    </font>
    <font>
      <sz val="10"/>
    </font>
    <font>
      <b val="1"/>
      <color rgb="00FFFFFF"/>
      <sz val="11"/>
    </font>
    <font>
      <color rgb="00444444"/>
      <sz val="9"/>
    </font>
    <font>
      <b val="1"/>
      <color rgb="00375623"/>
      <sz val="11"/>
    </font>
    <font>
      <b val="1"/>
      <color rgb="001F4E79"/>
      <sz val="10"/>
    </font>
    <font>
      <b val="1"/>
      <color rgb="00833C0C"/>
      <sz val="11"/>
    </font>
    <font>
      <i val="1"/>
      <color rgb="00666666"/>
      <sz val="8"/>
    </font>
    <font>
      <name val="Consolas"/>
      <color rgb="00000000"/>
      <sz val="9"/>
    </font>
    <font>
      <b val="1"/>
      <color rgb="001F4E79"/>
      <sz val="12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8EEF4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EB9C"/>
      </patternFill>
    </fill>
    <fill>
      <patternFill patternType="solid">
        <fgColor rgb="00F5F8F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5" borderId="0" pivotButton="0" quotePrefix="0" xfId="0"/>
    <xf numFmtId="0" fontId="0" fillId="0" borderId="1" applyAlignment="1" pivotButton="0" quotePrefix="0" xfId="0">
      <alignment horizontal="center"/>
    </xf>
    <xf numFmtId="0" fontId="13" fillId="0" borderId="1" pivotButton="0" quotePrefix="0" xfId="0"/>
    <xf numFmtId="0" fontId="5" fillId="2" borderId="1" pivotButton="0" quotePrefix="0" xfId="0"/>
    <xf numFmtId="0" fontId="5" fillId="6" borderId="1" pivotButton="0" quotePrefix="0" xfId="0"/>
    <xf numFmtId="0" fontId="5" fillId="0" borderId="1" pivotButton="0" quotePrefix="0" xfId="0"/>
    <xf numFmtId="0" fontId="13" fillId="3" borderId="1" applyAlignment="1" pivotButton="0" quotePrefix="0" xfId="0">
      <alignment wrapText="1"/>
    </xf>
    <xf numFmtId="0" fontId="14" fillId="4" borderId="1" pivotButton="0" quotePrefix="0" xfId="0"/>
    <xf numFmtId="0" fontId="6" fillId="0" borderId="1" pivotButton="0" quotePrefix="0" xfId="0"/>
    <xf numFmtId="0" fontId="13" fillId="0" borderId="1" applyAlignment="1" pivotButton="0" quotePrefix="0" xfId="0">
      <alignment vertical="top" wrapText="1"/>
    </xf>
    <xf numFmtId="0" fontId="13" fillId="7" borderId="1" pivotButton="0" quotePrefix="0" xfId="0"/>
    <xf numFmtId="0" fontId="6" fillId="7" borderId="1" pivotButton="0" quotePrefix="0" xfId="0"/>
    <xf numFmtId="0" fontId="13" fillId="7" borderId="1" applyAlignment="1" pivotButton="0" quotePrefix="0" xfId="0">
      <alignment vertical="top" wrapText="1"/>
    </xf>
    <xf numFmtId="0" fontId="3" fillId="3" borderId="0" pivotButton="0" quotePrefix="0" xfId="0"/>
    <xf numFmtId="0" fontId="13" fillId="0" borderId="0" applyAlignment="1" pivotButton="0" quotePrefix="0" xfId="0">
      <alignment vertical="top" wrapText="1"/>
    </xf>
    <xf numFmtId="0" fontId="13" fillId="0" borderId="1" applyAlignment="1" pivotButton="0" quotePrefix="0" xfId="0">
      <alignment wrapText="1"/>
    </xf>
    <xf numFmtId="0" fontId="13" fillId="2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top" wrapText="1"/>
    </xf>
    <xf numFmtId="0" fontId="16" fillId="8" borderId="0" applyAlignment="1" pivotButton="0" quotePrefix="0" xfId="0">
      <alignment vertical="center"/>
    </xf>
    <xf numFmtId="0" fontId="8" fillId="4" borderId="7" applyAlignment="1" pivotButton="0" quotePrefix="0" xfId="0">
      <alignment horizontal="center" wrapText="1"/>
    </xf>
    <xf numFmtId="0" fontId="17" fillId="0" borderId="7" pivotButton="0" quotePrefix="0" xfId="0"/>
    <xf numFmtId="0" fontId="7" fillId="0" borderId="7" applyAlignment="1" pivotButton="0" quotePrefix="0" xfId="0">
      <alignment vertical="top" wrapText="1"/>
    </xf>
    <xf numFmtId="0" fontId="18" fillId="9" borderId="0" pivotButton="0" quotePrefix="0" xfId="0"/>
    <xf numFmtId="0" fontId="19" fillId="0" borderId="0" applyAlignment="1" pivotButton="0" quotePrefix="0" xfId="0">
      <alignment wrapText="1"/>
    </xf>
    <xf numFmtId="0" fontId="17" fillId="0" borderId="0" pivotButton="0" quotePrefix="0" xfId="0"/>
    <xf numFmtId="0" fontId="8" fillId="4" borderId="7" pivotButton="0" quotePrefix="0" xfId="0"/>
    <xf numFmtId="0" fontId="20" fillId="10" borderId="7" applyAlignment="1" pivotButton="0" quotePrefix="0" xfId="0">
      <alignment vertical="top" wrapText="1"/>
    </xf>
    <xf numFmtId="0" fontId="16" fillId="0" borderId="0" pivotButton="0" quotePrefix="0" xfId="0"/>
    <xf numFmtId="0" fontId="0" fillId="0" borderId="7" pivotButton="0" quotePrefix="0" xfId="0"/>
    <xf numFmtId="0" fontId="6" fillId="0" borderId="7" pivotButton="0" quotePrefix="0" xfId="0"/>
    <xf numFmtId="0" fontId="0" fillId="0" borderId="7" applyAlignment="1" pivotButton="0" quotePrefix="0" xfId="0">
      <alignment wrapText="1"/>
    </xf>
    <xf numFmtId="0" fontId="5" fillId="11" borderId="0" pivotButton="0" quotePrefix="0" xfId="0"/>
    <xf numFmtId="0" fontId="7" fillId="0" borderId="0" applyAlignment="1" pivotButton="0" quotePrefix="0" xfId="0">
      <alignment wrapText="1"/>
    </xf>
    <xf numFmtId="0" fontId="21" fillId="0" borderId="0" pivotButton="0" quotePrefix="0" xfId="0"/>
    <xf numFmtId="0" fontId="0" fillId="0" borderId="0" applyAlignment="1" pivotButton="0" quotePrefix="0" xfId="0">
      <alignment wrapText="1"/>
    </xf>
    <xf numFmtId="0" fontId="17" fillId="5" borderId="0" pivotButton="0" quotePrefix="0" xfId="0"/>
    <xf numFmtId="0" fontId="8" fillId="4" borderId="2" applyAlignment="1" pivotButton="0" quotePrefix="0" xfId="0">
      <alignment horizontal="center" wrapText="1"/>
    </xf>
    <xf numFmtId="0" fontId="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wrapText="1"/>
    </xf>
    <xf numFmtId="0" fontId="22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5" fillId="3" borderId="1" applyAlignment="1" pivotButton="0" quotePrefix="0" xfId="0">
      <alignment horizontal="left" wrapText="1"/>
    </xf>
    <xf numFmtId="0" fontId="6" fillId="0" borderId="2" pivotButton="0" quotePrefix="0" xfId="0"/>
    <xf numFmtId="0" fontId="7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4" borderId="2" pivotButton="0" quotePrefix="0" xfId="0"/>
    <xf numFmtId="0" fontId="9" fillId="0" borderId="0" applyAlignment="1" pivotButton="0" quotePrefix="0" xfId="0">
      <alignment vertical="top" wrapText="1"/>
    </xf>
    <xf numFmtId="0" fontId="8" fillId="4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0" fillId="7" borderId="1" pivotButton="0" quotePrefix="0" xfId="0"/>
    <xf numFmtId="0" fontId="13" fillId="7" borderId="1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3238500" cy="2428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3238500" cy="2428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238500" cy="2428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3238500" cy="2428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32" customHeight="1">
      <c r="A1" s="1" t="inlineStr">
        <is>
          <t>SPC 자동 판정 · 해석 대시보드</t>
        </is>
      </c>
    </row>
    <row r="2">
      <c r="A2" s="2" t="inlineStr">
        <is>
          <t>조립공정  |  외경  |  PART-A001  |  단계: mass_production</t>
        </is>
      </c>
    </row>
    <row r="3"/>
    <row r="4">
      <c r="A4" s="3" t="inlineStr">
        <is>
          <t>공정상태</t>
        </is>
      </c>
      <c r="B4" s="3" t="inlineStr">
        <is>
          <t>정규성</t>
        </is>
      </c>
      <c r="C4" s="3" t="inlineStr">
        <is>
          <t>공정능력</t>
        </is>
      </c>
      <c r="D4" s="3" t="inlineStr">
        <is>
          <t>관리도 적용</t>
        </is>
      </c>
    </row>
    <row r="5" ht="36" customHeight="1">
      <c r="A5" s="4" t="inlineStr">
        <is>
          <t>안정</t>
        </is>
      </c>
      <c r="B5" s="4" t="inlineStr">
        <is>
          <t>정규</t>
        </is>
      </c>
      <c r="C5" s="4" t="inlineStr">
        <is>
          <t>충분</t>
        </is>
      </c>
      <c r="D5" s="4" t="inlineStr">
        <is>
          <t>가능</t>
        </is>
      </c>
    </row>
    <row r="6"/>
    <row r="7" ht="28" customHeight="1">
      <c r="A7" s="5" t="inlineStr">
        <is>
          <t>▶ 우선 조치: 데이터 재수집</t>
        </is>
      </c>
    </row>
    <row r="8"/>
    <row r="9" ht="22" customHeight="1">
      <c r="A9" s="6" t="inlineStr">
        <is>
          <t>회사 기준 판정 · 후속조치 체크</t>
        </is>
      </c>
    </row>
    <row r="10">
      <c r="A10" s="7" t="inlineStr">
        <is>
          <t>●</t>
        </is>
      </c>
      <c r="B10" s="8" t="inlineStr">
        <is>
          <t>관리용 관리도 적용</t>
        </is>
      </c>
      <c r="C10" s="9" t="inlineStr">
        <is>
          <t>가능</t>
        </is>
      </c>
    </row>
    <row r="11">
      <c r="A11" s="7" t="inlineStr">
        <is>
          <t>●</t>
        </is>
      </c>
      <c r="B11" s="8" t="inlineStr">
        <is>
          <t>데이터 재수집 필요</t>
        </is>
      </c>
      <c r="C11" s="10" t="inlineStr">
        <is>
          <t>필요</t>
        </is>
      </c>
    </row>
    <row r="12">
      <c r="A12" s="7" t="inlineStr">
        <is>
          <t>—</t>
        </is>
      </c>
      <c r="B12" s="8" t="inlineStr">
        <is>
          <t>공정 개선 필요</t>
        </is>
      </c>
      <c r="C12" s="11" t="inlineStr">
        <is>
          <t>해당 없음</t>
        </is>
      </c>
    </row>
    <row r="13">
      <c r="A13" s="7" t="inlineStr">
        <is>
          <t>—</t>
        </is>
      </c>
      <c r="B13" s="8" t="inlineStr">
        <is>
          <t>관리한계 재설정</t>
        </is>
      </c>
      <c r="C13" s="11" t="inlineStr">
        <is>
          <t>해당 없음</t>
        </is>
      </c>
    </row>
    <row r="14">
      <c r="A14" s="7" t="inlineStr">
        <is>
          <t>—</t>
        </is>
      </c>
      <c r="B14" s="8" t="inlineStr">
        <is>
          <t>관리계획서 검토</t>
        </is>
      </c>
      <c r="C14" s="11" t="inlineStr">
        <is>
          <t>해당 없음</t>
        </is>
      </c>
    </row>
    <row r="15">
      <c r="A15" s="7" t="inlineStr">
        <is>
          <t>—</t>
        </is>
      </c>
      <c r="B15" s="8" t="inlineStr">
        <is>
          <t>작업표준 검토</t>
        </is>
      </c>
      <c r="C15" s="11" t="inlineStr">
        <is>
          <t>해당 없음</t>
        </is>
      </c>
    </row>
    <row r="16">
      <c r="A16" s="7" t="inlineStr">
        <is>
          <t>—</t>
        </is>
      </c>
      <c r="B16" s="8" t="inlineStr">
        <is>
          <t>봉쇄 검토</t>
        </is>
      </c>
      <c r="C16" s="11" t="inlineStr">
        <is>
          <t>해당 없음</t>
        </is>
      </c>
    </row>
    <row r="17">
      <c r="A17" s="7" t="inlineStr">
        <is>
          <t>—</t>
        </is>
      </c>
      <c r="B17" s="8" t="inlineStr">
        <is>
          <t>전수검사 검토</t>
        </is>
      </c>
      <c r="C17" s="11" t="inlineStr">
        <is>
          <t>해당 없음</t>
        </is>
      </c>
    </row>
    <row r="18">
      <c r="A18" s="7" t="inlineStr">
        <is>
          <t>—</t>
        </is>
      </c>
      <c r="B18" s="8" t="inlineStr">
        <is>
          <t>고객 예외 검토</t>
        </is>
      </c>
      <c r="C18" s="11" t="inlineStr">
        <is>
          <t>해당 없음</t>
        </is>
      </c>
    </row>
    <row r="19">
      <c r="A19" s="12" t="inlineStr">
        <is>
          <t>권고 조치: 데이터 재수집</t>
        </is>
      </c>
    </row>
    <row r="20"/>
    <row r="21" ht="22" customHeight="1">
      <c r="A21" s="6" t="inlineStr">
        <is>
          <t>판정 근거 (Decision Log)</t>
        </is>
      </c>
    </row>
    <row r="22">
      <c r="A22" s="13" t="inlineStr">
        <is>
          <t>우선순위</t>
        </is>
      </c>
      <c r="B22" s="13" t="inlineStr">
        <is>
          <t>규칙 ID</t>
        </is>
      </c>
      <c r="C22" s="13" t="inlineStr">
        <is>
          <t>판정 내용</t>
        </is>
      </c>
    </row>
    <row r="23">
      <c r="A23" s="8" t="n">
        <v>10</v>
      </c>
      <c r="B23" s="14" t="inlineStr">
        <is>
          <t>DATA_MIN_GROUPS</t>
        </is>
      </c>
      <c r="C23" s="15" t="inlineStr">
        <is>
          <t>subgroup count=4 &lt; minimum 25 -&gt; interpretation reliability reduced</t>
        </is>
      </c>
    </row>
    <row r="24">
      <c r="A24" s="16" t="n">
        <v>30</v>
      </c>
      <c r="B24" s="17" t="inlineStr">
        <is>
          <t>STAGE_CAPABILITY</t>
        </is>
      </c>
      <c r="C24" s="18" t="inlineStr">
        <is>
          <t>stage=mass_production -&gt; CpCpk rule applied (threshold width=1.33, center=1.33)</t>
        </is>
      </c>
    </row>
    <row r="25">
      <c r="A25" s="8" t="n">
        <v>40</v>
      </c>
      <c r="B25" s="14" t="inlineStr">
        <is>
          <t>CAPABILITY_SUFFICIENT</t>
        </is>
      </c>
      <c r="C25" s="15" t="inlineStr">
        <is>
          <t>Cpk&gt;=1.33 -&gt; maintain and monitor</t>
        </is>
      </c>
    </row>
    <row r="26"/>
    <row r="27" ht="22" customHeight="1">
      <c r="A27" s="6" t="inlineStr">
        <is>
          <t>SPC 전문가 해석</t>
        </is>
      </c>
    </row>
    <row r="28">
      <c r="A28" s="19" t="inlineStr">
        <is>
          <t>■ 경영진 요약</t>
        </is>
      </c>
    </row>
    <row r="29" ht="48" customHeight="1">
      <c r="A29" s="20" t="inlineStr">
        <is>
          <t>해석용 관리도 기준으로 공정이 통계적 안정 상태로 판단됩니다. 특별원인 신호가 뚜렷하지 않으므로 현 관리한계선을 유지하며 정기 모니터링을 권장합니다. 공정능력 지수가 내부 기준을 충족합니다. 현재 수준을 유지하면서 추이 모니터링과 정기 재평가를 수행하십시오.</t>
        </is>
      </c>
    </row>
    <row r="30"/>
    <row r="31">
      <c r="A31" s="19" t="inlineStr">
        <is>
          <t>■ 관리도 해석</t>
        </is>
      </c>
    </row>
    <row r="32" ht="48" customHeight="1">
      <c r="A32" s="20" t="inlineStr">
        <is>
          <t>관리한계 내에서 운영되고 있으며, 해석용 관리도 기준 안정 상태입니다.</t>
        </is>
      </c>
    </row>
    <row r="33"/>
    <row r="34">
      <c r="A34" s="19" t="inlineStr">
        <is>
          <t>■ 정규성 해석</t>
        </is>
      </c>
    </row>
    <row r="35" ht="48" customHeight="1">
      <c r="A35" s="20" t="inlineStr">
        <is>
          <t>정규성 검정과 QQ plot 해석이 정규 가정과 크게 어긋나지 않습니다. Cp/Cpk·Pp/Ppk 해석에 무리가 없습니다.</t>
        </is>
      </c>
    </row>
    <row r="36"/>
    <row r="37">
      <c r="A37" s="19" t="inlineStr">
        <is>
          <t>■ 공정능력 해석</t>
        </is>
      </c>
    </row>
    <row r="38" ht="48" customHeight="1">
      <c r="A38" s="20" t="inlineStr">
        <is>
          <t>현재 지표는 Cp/Cpk 기준 잠재 공정능력 해석이 중심입니다. 공정능력 지수가 내부 기준을 충족합니다. 현재 수준을 유지하면서 추이 모니터링과 정기 재평가를 수행하십시오. Cp=2.184, Cpk=2.043 (기준 Cp/Cpk≥1.33)</t>
        </is>
      </c>
    </row>
    <row r="39"/>
    <row r="40">
      <c r="A40" s="19" t="inlineStr">
        <is>
          <t>■ 후속조치 가이드</t>
        </is>
      </c>
    </row>
    <row r="41" ht="48" customHeight="1">
      <c r="A41" s="20" t="inlineStr">
        <is>
          <t>우선 조치: 데이터 재수집</t>
        </is>
      </c>
    </row>
    <row r="42"/>
    <row r="43">
      <c r="A43" s="19" t="inlineStr">
        <is>
          <t>■ 현장 실무자 해석</t>
        </is>
      </c>
    </row>
    <row r="44" ht="48" customHeight="1">
      <c r="A44" s="20" t="inlineStr">
        <is>
          <t>현재 데이터에서는 특별한 이상 신호가 없습니다. 기존 관리 방식을 유지하며 주기적으로 다시 확인하십시오.</t>
        </is>
      </c>
    </row>
    <row r="45"/>
    <row r="46" ht="22" customHeight="1">
      <c r="A46" s="6" t="inlineStr">
        <is>
          <t>AIAG-VDA 확장 점검</t>
        </is>
      </c>
    </row>
    <row r="47">
      <c r="A47" s="14" t="inlineStr">
        <is>
          <t>Pre-control 권고</t>
        </is>
      </c>
      <c r="B47" s="21" t="inlineStr">
        <is>
          <t>X-bar 계열 운용 — Pre-control Chart는 보조 수단으로 검토</t>
        </is>
      </c>
    </row>
    <row r="48">
      <c r="A48" s="14" t="inlineStr">
        <is>
          <t>기계성능(Cm/Cmk) 필요</t>
        </is>
      </c>
      <c r="B48" s="21" t="inlineStr">
        <is>
          <t>아니오</t>
        </is>
      </c>
    </row>
    <row r="49">
      <c r="A49" s="14" t="inlineStr">
        <is>
          <t>기계성능 모듈</t>
        </is>
      </c>
      <c r="B49" s="21" t="inlineStr">
        <is>
          <t>Cm/Cmk calculation module not implemented yet.</t>
        </is>
      </c>
    </row>
    <row r="50">
      <c r="A50" s="14" t="inlineStr">
        <is>
          <t>리포트 완전성</t>
        </is>
      </c>
      <c r="B50" s="22" t="inlineStr">
        <is>
          <t>완전</t>
        </is>
      </c>
    </row>
    <row r="51">
      <c r="A51" s="14" t="inlineStr">
        <is>
          <t>누락 항목</t>
        </is>
      </c>
      <c r="B51" s="21" t="inlineStr">
        <is>
          <t>없음</t>
        </is>
      </c>
    </row>
    <row r="52">
      <c r="A52" s="14" t="inlineStr">
        <is>
          <t>Pp/Ppk 기준</t>
        </is>
      </c>
      <c r="B52" s="21" t="inlineStr">
        <is>
          <t>Pp/Ppk: 전체 변동(σ_overall, ddof=1) 기반 — 개발/선행 단계 평가에 적합</t>
        </is>
      </c>
    </row>
    <row r="53">
      <c r="A53" s="14" t="inlineStr">
        <is>
          <t>Cp/Cpk 기준</t>
        </is>
      </c>
      <c r="B53" s="21" t="inlineStr">
        <is>
          <t>Cp/Cpk: 관리도 기반 σ_within 추정 — 양산 단계 잠재 공정능력 평가에 적합</t>
        </is>
      </c>
    </row>
  </sheetData>
  <mergeCells count="40">
    <mergeCell ref="C16:E16"/>
    <mergeCell ref="A34:E34"/>
    <mergeCell ref="B49:E49"/>
    <mergeCell ref="C22:E22"/>
    <mergeCell ref="B51:E51"/>
    <mergeCell ref="C12:E12"/>
    <mergeCell ref="A2:F2"/>
    <mergeCell ref="C11:E11"/>
    <mergeCell ref="B50:E50"/>
    <mergeCell ref="C23:E23"/>
    <mergeCell ref="A41:E41"/>
    <mergeCell ref="C17:E17"/>
    <mergeCell ref="A37:E37"/>
    <mergeCell ref="A46:E46"/>
    <mergeCell ref="B47:E47"/>
    <mergeCell ref="A27:E27"/>
    <mergeCell ref="A21:E21"/>
    <mergeCell ref="A7:F7"/>
    <mergeCell ref="C13:E13"/>
    <mergeCell ref="B52:E52"/>
    <mergeCell ref="B48:E48"/>
    <mergeCell ref="C18:E18"/>
    <mergeCell ref="A32:E32"/>
    <mergeCell ref="C15:E15"/>
    <mergeCell ref="C24:E24"/>
    <mergeCell ref="A29:E29"/>
    <mergeCell ref="C14:E14"/>
    <mergeCell ref="A35:E35"/>
    <mergeCell ref="A43:E43"/>
    <mergeCell ref="A38:E38"/>
    <mergeCell ref="B53:E53"/>
    <mergeCell ref="A1:F1"/>
    <mergeCell ref="A28:E28"/>
    <mergeCell ref="A19:E19"/>
    <mergeCell ref="A31:E31"/>
    <mergeCell ref="A44:E44"/>
    <mergeCell ref="A40:E40"/>
    <mergeCell ref="A9:E9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38" customWidth="1" min="3" max="3"/>
    <col width="24" customWidth="1" min="4" max="4"/>
    <col width="18" customWidth="1" min="5" max="5"/>
  </cols>
  <sheetData>
    <row r="1">
      <c r="A1" s="23" t="inlineStr">
        <is>
          <t>SPC · 공정능력 — 초보자용 용어 설명</t>
        </is>
      </c>
    </row>
    <row r="2">
      <c r="A2" s="24" t="inlineStr">
        <is>
          <t>보고서를 처음 보실 때 이 시트부터 읽으시면 됩니다. §6 산출식은 본 프로그램이 실제로 사용하는 계산식(AIAG/Minitab 기준)입니다. 검증_수식연계 시트에서 Excel로 같은 식을 재현할 수 있습니다.</t>
        </is>
      </c>
    </row>
    <row r="3"/>
    <row r="4">
      <c r="A4" s="25" t="inlineStr">
        <is>
          <t>1. 기본 개념</t>
        </is>
      </c>
    </row>
    <row r="5">
      <c r="A5" s="26" t="inlineStr">
        <is>
          <t>용어</t>
        </is>
      </c>
      <c r="B5" s="26" t="inlineStr">
        <is>
          <t>한 줄로 이해하기</t>
        </is>
      </c>
      <c r="C5" s="26" t="inlineStr">
        <is>
          <t>조금 더 자세히</t>
        </is>
      </c>
      <c r="D5" s="26" t="inlineStr">
        <is>
          <t>보고서에서 보는 곳</t>
        </is>
      </c>
    </row>
    <row r="6">
      <c r="A6" s="27" t="inlineStr">
        <is>
          <t>SPC</t>
        </is>
      </c>
      <c r="B6" s="28" t="inlineStr">
        <is>
          <t>공정이 안정적인지·규격을 지키는지 숫자와 차트로 보는 방법</t>
        </is>
      </c>
      <c r="C6" s="28" t="inlineStr">
        <is>
          <t>Statistical Process Control. 측정값을 시간·LOT별로 모아 관리도와 공정능력으로 판단합니다.</t>
        </is>
      </c>
      <c r="D6" s="28" t="inlineStr">
        <is>
          <t>종합 시트 전체</t>
        </is>
      </c>
    </row>
    <row r="7">
      <c r="A7" s="27" t="inlineStr">
        <is>
          <t>USL / LSL</t>
        </is>
      </c>
      <c r="B7" s="28" t="inlineStr">
        <is>
          <t>규격 상한·하한 (이 범위 안이면 합격)</t>
        </is>
      </c>
      <c r="C7" s="28" t="inlineStr">
        <is>
          <t>Upper/Lower Specification Limit. 도면·검사기준에서 정한 허용 범위입니다.</t>
        </is>
      </c>
      <c r="D7" s="28" t="inlineStr">
        <is>
          <t>종합 5·6항, 공정능력 시트</t>
        </is>
      </c>
    </row>
    <row r="8">
      <c r="A8" s="27" t="inlineStr">
        <is>
          <t>Subgroup (부군)</t>
        </is>
      </c>
      <c r="B8" s="28" t="inlineStr">
        <is>
          <t>관리도용으로 묶은 측정값 한 묶음 (예: 연속 5개)</t>
        </is>
      </c>
      <c r="C8" s="28" t="inlineStr">
        <is>
          <t>같은 조건에서 연속 측정한 n개를 1그룹으로 보고 Xbar, R(또는 S)을 계산합니다.</t>
        </is>
      </c>
      <c r="D8" s="28" t="inlineStr">
        <is>
          <t>Subgroup통계</t>
        </is>
      </c>
    </row>
    <row r="9">
      <c r="A9" s="27" t="inlineStr">
        <is>
          <t>σ (시그마)</t>
        </is>
      </c>
      <c r="B9" s="28" t="inlineStr">
        <is>
          <t>데이터가 얼마나 퍼져 있는지 나타내는 산포</t>
        </is>
      </c>
      <c r="C9" s="28" t="inlineStr">
        <is>
          <t>표준편차. 값이 클수록 측정값이 넓게 퍼져 있습니다.</t>
        </is>
      </c>
      <c r="D9" s="28" t="inlineStr">
        <is>
          <t>공정능력 시트, 검증 시트</t>
        </is>
      </c>
    </row>
    <row r="10"/>
    <row r="11">
      <c r="A11" s="25" t="inlineStr">
        <is>
          <t>2. 공정능력 지표 (Cp · Cpk 등)</t>
        </is>
      </c>
    </row>
    <row r="12">
      <c r="A12" s="26" t="inlineStr">
        <is>
          <t>용어</t>
        </is>
      </c>
      <c r="B12" s="26" t="inlineStr">
        <is>
          <t>한 줄로 이해하기</t>
        </is>
      </c>
      <c r="C12" s="26" t="inlineStr">
        <is>
          <t>조금 더 자세히</t>
        </is>
      </c>
      <c r="D12" s="26" t="inlineStr">
        <is>
          <t>보고서에서 보는 곳</t>
        </is>
      </c>
    </row>
    <row r="13">
      <c r="A13" s="27" t="inlineStr">
        <is>
          <t>Cp</t>
        </is>
      </c>
      <c r="B13" s="28" t="inlineStr">
        <is>
          <t>규격 폭에 비해 산포가 얼마나 좁은지 (공정 폭)</t>
        </is>
      </c>
      <c r="C13" s="28" t="inlineStr">
        <is>
          <t>Cp = (USL−LSL) / (6σ_within). σ_within은 부군 내·부군 간 변동을 반영한 공정 산포입니다. 평균 위치는 보지 않고 「퍼짐」만 봅니다.</t>
        </is>
      </c>
      <c r="D13" s="28" t="inlineStr">
        <is>
          <t>종합 우측 표, 공정능력 시트</t>
        </is>
      </c>
    </row>
    <row r="14">
      <c r="A14" s="27" t="inlineStr">
        <is>
          <t>Cpk</t>
        </is>
      </c>
      <c r="B14" s="28" t="inlineStr">
        <is>
          <t>규격 중심에 얼마나 잘 맞춰져 있는지 (실질 능력)</t>
        </is>
      </c>
      <c r="C14" s="28" t="inlineStr">
        <is>
          <t>Cpk = min(Cpu, Cpl). 평균이 USL·LSL 중 한쪽에 치우치면 Cpk가 Cp보다 작아집니다. 현장에서는 Cpk를 가장 많이 봅니다.</t>
        </is>
      </c>
      <c r="D14" s="28" t="inlineStr">
        <is>
          <t>종합 우측 표, 공정능력 시트</t>
        </is>
      </c>
    </row>
    <row r="15">
      <c r="A15" s="27" t="inlineStr">
        <is>
          <t>Cpu / Cpl</t>
        </is>
      </c>
      <c r="B15" s="28" t="inlineStr">
        <is>
          <t>상한·하한 각각에 대한 여유</t>
        </is>
      </c>
      <c r="C15" s="28" t="inlineStr">
        <is>
          <t>Cpu=(USL−평균)/(3σ_within), Cpl=(평균−LSL)/(3σ_within). Cpk는 둘 중 작은 값입니다.</t>
        </is>
      </c>
      <c r="D15" s="28" t="inlineStr">
        <is>
          <t>공정능력 시트, 검증 시트 §4</t>
        </is>
      </c>
    </row>
    <row r="16">
      <c r="A16" s="27" t="inlineStr">
        <is>
          <t>Pp / Ppk</t>
        </is>
      </c>
      <c r="B16" s="28" t="inlineStr">
        <is>
          <t>전체 데이터 산포로 본 능력 (장기·전체 변동)</t>
        </is>
      </c>
      <c r="C16" s="28" t="inlineStr">
        <is>
          <t>σ_overall(표본 전체 표준편차)을 사용합니다. Ppk가 Cpk보다 작으면 시간이 지나며 산포가 커졌거나 추가 변동이 있다는 신호일 수 있습니다.</t>
        </is>
      </c>
      <c r="D16" s="28" t="inlineStr">
        <is>
          <t>공정능력 시트</t>
        </is>
      </c>
    </row>
    <row r="17">
      <c r="A17" s="27" t="inlineStr">
        <is>
          <t>σ_within / σ_overall</t>
        </is>
      </c>
      <c r="B17" s="28" t="inlineStr">
        <is>
          <t>단기 공정 산포 vs 전체 산포</t>
        </is>
      </c>
      <c r="C17" s="28" t="inlineStr">
        <is>
          <t>σ_within: 관리도(R,S,MR)로 추정한 공정 산포. σ_overall: 모든 측정값의 표준편차.</t>
        </is>
      </c>
      <c r="D17" s="28" t="inlineStr">
        <is>
          <t>검증 시트 §2·§3</t>
        </is>
      </c>
    </row>
    <row r="18">
      <c r="A18" s="27" t="inlineStr">
        <is>
          <t>PPM (예상)</t>
        </is>
      </c>
      <c r="B18" s="28" t="inlineStr">
        <is>
          <t>규격 밖으로 나갈 것으로 예상되는 불량 비율(백만분율)</t>
        </is>
      </c>
      <c r="C18" s="28" t="inlineStr">
        <is>
          <t>정규분포를 가정해 USL·LSL 밖 확률을 추정한 값입니다.</t>
        </is>
      </c>
      <c r="D18" s="28" t="inlineStr">
        <is>
          <t>종합 표, 공정능력 시트</t>
        </is>
      </c>
    </row>
    <row r="19"/>
    <row r="20">
      <c r="A20" s="25" t="inlineStr">
        <is>
          <t>3. 정규성 검정</t>
        </is>
      </c>
    </row>
    <row r="21">
      <c r="A21" s="26" t="inlineStr">
        <is>
          <t>용어</t>
        </is>
      </c>
      <c r="B21" s="26" t="inlineStr">
        <is>
          <t>한 줄로 이해하기</t>
        </is>
      </c>
      <c r="C21" s="26" t="inlineStr">
        <is>
          <t>조금 더 자세히</t>
        </is>
      </c>
      <c r="D21" s="26" t="inlineStr">
        <is>
          <t>보고서에서 보는 곳</t>
        </is>
      </c>
    </row>
    <row r="22">
      <c r="A22" s="27" t="inlineStr">
        <is>
          <t>정규성 검정</t>
        </is>
      </c>
      <c r="B22" s="28" t="inlineStr">
        <is>
          <t>데이터가 「종 모양(정규분포)」에 가까운지 통계적으로 확인</t>
        </is>
      </c>
      <c r="C22" s="28" t="inlineStr">
        <is>
          <t>공정능력·PPM 해석은 정규분포 가정에 기대는 경우가 많아, 먼저 확인하는 단계입니다.</t>
        </is>
      </c>
      <c r="D22" s="28" t="inlineStr">
        <is>
          <t>정규성검정 시트, 종합 15·16항</t>
        </is>
      </c>
    </row>
    <row r="23">
      <c r="A23" s="27" t="inlineStr">
        <is>
          <t>p-value (p값)</t>
        </is>
      </c>
      <c r="B23" s="28" t="inlineStr">
        <is>
          <t>「우연이 아니다」의 정도 — 작을수록 정규분포와 다르다</t>
        </is>
      </c>
      <c r="C23" s="28" t="inlineStr">
        <is>
          <t>p가 작으면(예: 0.05 미만) 정규분포라고 보기 어렵다고 판단합니다. p가 크면(예: 0.05 이상) 정규와 크게 다르지 않다고 「일단」 받아들이는 경우가 많습니다.</t>
        </is>
      </c>
      <c r="D23" s="28" t="inlineStr">
        <is>
          <t>정규성검정 시트 p_value 열</t>
        </is>
      </c>
    </row>
    <row r="24">
      <c r="A24" s="27" t="inlineStr">
        <is>
          <t>유의수준 α (알파)</t>
        </is>
      </c>
      <c r="B24" s="28" t="inlineStr">
        <is>
          <t>p-value와 비교하는 기준선 (보통 0.05 = 5%)</t>
        </is>
      </c>
      <c r="C24" s="28" t="inlineStr">
        <is>
          <t>p-value &lt; α 이면 「정규가 아니다」로 판정하는 일반적 규칙입니다. α=0.05는 「100번 중 5번까지는 우연히 나올 수 있는 차이」를 허용한다는 뜻에 가깝습니다.</t>
        </is>
      </c>
      <c r="D24" s="28" t="inlineStr">
        <is>
          <t>정규성검정 시트 유의수준</t>
        </is>
      </c>
    </row>
    <row r="25">
      <c r="A25" s="27" t="inlineStr">
        <is>
          <t>Shapiro-Wilk</t>
        </is>
      </c>
      <c r="B25" s="28" t="inlineStr">
        <is>
          <t>표본이 정규분포인지 검정하는 대표적인 방법</t>
        </is>
      </c>
      <c r="C25" s="28" t="inlineStr">
        <is>
          <t>본 프로그램은 표본 수에 따라 Shapiro-Wilk 또는 D'Agostino 검정을 사용합니다.</t>
        </is>
      </c>
      <c r="D25" s="28" t="inlineStr">
        <is>
          <t>정규성검정 시트 검정방법</t>
        </is>
      </c>
    </row>
    <row r="26">
      <c r="A26" s="27" t="inlineStr">
        <is>
          <t>정규 / 비정규 판정</t>
        </is>
      </c>
      <c r="B26" s="28" t="inlineStr">
        <is>
          <t>보고서에 표시된 최종 결론</t>
        </is>
      </c>
      <c r="C26" s="28" t="inlineStr">
        <is>
          <t>p-value ≥ α 이면 「정규」, 그렇지 않으면 「비정규」로 표시합니다. 비정규일 때는 변환·다른 분석·원인 조사를 검토할 수 있습니다.</t>
        </is>
      </c>
      <c r="D26" s="28" t="inlineStr">
        <is>
          <t>종합 16항</t>
        </is>
      </c>
    </row>
    <row r="27"/>
    <row r="28">
      <c r="A28" s="25" t="inlineStr">
        <is>
          <t>4. 관리도</t>
        </is>
      </c>
    </row>
    <row r="29">
      <c r="A29" s="26" t="inlineStr">
        <is>
          <t>용어</t>
        </is>
      </c>
      <c r="B29" s="26" t="inlineStr">
        <is>
          <t>한 줄로 이해하기</t>
        </is>
      </c>
      <c r="C29" s="26" t="inlineStr">
        <is>
          <t>조금 더 자세히</t>
        </is>
      </c>
      <c r="D29" s="26" t="inlineStr">
        <is>
          <t>보고서에서 보는 곳</t>
        </is>
      </c>
    </row>
    <row r="30">
      <c r="A30" s="27" t="inlineStr">
        <is>
          <t>관리도</t>
        </is>
      </c>
      <c r="B30" s="28" t="inlineStr">
        <is>
          <t>시간·순서에 따른 측정값이 안정적인지 보는 차트</t>
        </is>
      </c>
      <c r="C30" s="28" t="inlineStr">
        <is>
          <t>평균이 갑자기 튀거나 산포가 커지면 「특별 원인」을 찾도록 돕습니다.</t>
        </is>
      </c>
      <c r="D30" s="28" t="inlineStr">
        <is>
          <t>종합 차트, 관리한계 시트</t>
        </is>
      </c>
    </row>
    <row r="31">
      <c r="A31" s="27" t="inlineStr">
        <is>
          <t>CL / UCL / LCL</t>
        </is>
      </c>
      <c r="B31" s="28" t="inlineStr">
        <is>
          <t>중심선·관리 상한·관리 하한</t>
        </is>
      </c>
      <c r="C31" s="28" t="inlineStr">
        <is>
          <t>CL(Center Line): 평균 수준. UCL/LCL: 통계적으로 기대되는 변동 범위 밖이면 이상 신호로 봅니다.</t>
        </is>
      </c>
      <c r="D31" s="28" t="inlineStr">
        <is>
          <t>관리한계 시트, 종합 관리도 차트</t>
        </is>
      </c>
    </row>
    <row r="32">
      <c r="A32" s="27" t="inlineStr">
        <is>
          <t>X-bar (X̄) 차트</t>
        </is>
      </c>
      <c r="B32" s="28" t="inlineStr">
        <is>
          <t>부군별 평균이 안정적인지 확인</t>
        </is>
      </c>
      <c r="C32" s="28" t="inlineStr">
        <is>
          <t>공정 평균이 서서히 변하거나 갑자기 변했는지 봅니다.</t>
        </is>
      </c>
      <c r="D32" s="28" t="inlineStr">
        <is>
          <t>Subgroup통계, 종합 차트</t>
        </is>
      </c>
    </row>
    <row r="33">
      <c r="A33" s="27" t="inlineStr">
        <is>
          <t>R / S 차트</t>
        </is>
      </c>
      <c r="B33" s="28" t="inlineStr">
        <is>
          <t>부군 내 산포(범위·표준편차)가 안정적인지 확인</t>
        </is>
      </c>
      <c r="C33" s="28" t="inlineStr">
        <is>
          <t>R=최대−최소, S=표준편차. 산포가 커지면 공정이 불안정해졌을 수 있습니다.</t>
        </is>
      </c>
      <c r="D33" s="28" t="inlineStr">
        <is>
          <t>Subgroup통계, 관리한계</t>
        </is>
      </c>
    </row>
    <row r="34">
      <c r="A34" s="27" t="inlineStr">
        <is>
          <t>I-MR 차트</t>
        </is>
      </c>
      <c r="B34" s="28" t="inlineStr">
        <is>
          <t>개별 측정값·이동범위 차트 (부군 없을 때)</t>
        </is>
      </c>
      <c r="C34" s="28" t="inlineStr">
        <is>
          <t>한 점씩 측정할 때 사용. I=개별값, MR=연속 두 점 차이의 절대값.</t>
        </is>
      </c>
      <c r="D34" s="28" t="inlineStr">
        <is>
          <t>Individual통계, 관리한계</t>
        </is>
      </c>
    </row>
    <row r="35">
      <c r="A35" s="27" t="inlineStr">
        <is>
          <t>관리內 / 관리外</t>
        </is>
      </c>
      <c r="B35" s="28" t="inlineStr">
        <is>
          <t>관리도 점이 한계 안/밖인지 요약</t>
        </is>
      </c>
      <c r="C35" s="28" t="inlineStr">
        <is>
          <t>관리外: UCL 또는 LCL 밖에 점이 있음 → 원인 조사·조치 검토.</t>
        </is>
      </c>
      <c r="D35" s="28" t="inlineStr">
        <is>
          <t>종합 17항</t>
        </is>
      </c>
    </row>
    <row r="36"/>
    <row r="37">
      <c r="A37" s="25" t="inlineStr">
        <is>
          <t>5. 채취·데이터</t>
        </is>
      </c>
    </row>
    <row r="38">
      <c r="A38" s="26" t="inlineStr">
        <is>
          <t>용어</t>
        </is>
      </c>
      <c r="B38" s="26" t="inlineStr">
        <is>
          <t>한 줄로 이해하기</t>
        </is>
      </c>
      <c r="C38" s="26" t="inlineStr">
        <is>
          <t>조금 더 자세히</t>
        </is>
      </c>
      <c r="D38" s="26" t="inlineStr">
        <is>
          <t>보고서에서 보는 곳</t>
        </is>
      </c>
    </row>
    <row r="39">
      <c r="A39" s="27" t="inlineStr">
        <is>
          <t>채취표본</t>
        </is>
      </c>
      <c r="B39" s="28" t="inlineStr">
        <is>
          <t>이번 분석에 실제로 사용한 측정 데이터</t>
        </is>
      </c>
      <c r="C39" s="28" t="inlineStr">
        <is>
          <t>MES/QMS에서 필터·샘플링한 결과입니다. LOT·일자·교대 정보가 있을 수 있습니다.</t>
        </is>
      </c>
      <c r="D39" s="28" t="inlineStr">
        <is>
          <t>채취표본 시트</t>
        </is>
      </c>
    </row>
    <row r="40">
      <c r="A40" s="27" t="inlineStr">
        <is>
          <t>일자 랜덤 채취</t>
        </is>
      </c>
      <c r="B40" s="28" t="inlineStr">
        <is>
          <t>날짜별로 골고루 뽑아 편향을 줄이는 방식</t>
        </is>
      </c>
      <c r="C40" s="28" t="inlineStr">
        <is>
          <t>특정 하루 데이터만 몰리지 않도록 설계된 샘플링입니다.</t>
        </is>
      </c>
      <c r="D40" s="28" t="inlineStr">
        <is>
          <t>채취표본, 종합 메타</t>
        </is>
      </c>
    </row>
    <row r="41">
      <c r="A41" s="27" t="inlineStr">
        <is>
          <t>검증_수식연계</t>
        </is>
      </c>
      <c r="B41" s="28" t="inlineStr">
        <is>
          <t>프로그램 결과와 Excel 수식이 같은지 확인하는 시트</t>
        </is>
      </c>
      <c r="C41" s="28" t="inlineStr">
        <is>
          <t>OK/NG로 일치 여부를 표시합니다. 수식 셀을 누르면 어떤 데이터를 참조하는지 볼 수 있습니다.</t>
        </is>
      </c>
      <c r="D41" s="28" t="inlineStr">
        <is>
          <t>검증_수식연계 시트</t>
        </is>
      </c>
    </row>
    <row r="42"/>
    <row r="43">
      <c r="A43" s="29" t="inlineStr">
        <is>
          <t>6. 주요 산출값 산출식 (본 프로그램 적용)</t>
        </is>
      </c>
    </row>
    <row r="44">
      <c r="A44" s="30" t="inlineStr">
        <is>
          <t>기호: X̄=평균, σ=표준편차, n=부군 크기, N=총 측정 개수, USL/LSL=규격 상·하한. 상수 A2,A3,d2,c4 등은 부군 크기 n에 따라 AIAG 표에서 자동 적용됩니다.</t>
        </is>
      </c>
    </row>
    <row r="45"/>
    <row r="46">
      <c r="A46" s="31" t="inlineStr">
        <is>
          <t>6-1. 기초 통계 (모든 분석)</t>
        </is>
      </c>
    </row>
    <row r="47">
      <c r="A47" s="32" t="inlineStr">
        <is>
          <t>산출값</t>
        </is>
      </c>
      <c r="B47" s="32" t="inlineStr">
        <is>
          <t>산출식</t>
        </is>
      </c>
      <c r="C47" s="32" t="inlineStr">
        <is>
          <t>변수·기호 설명</t>
        </is>
      </c>
      <c r="D47" s="32" t="inlineStr">
        <is>
          <t>데이터 출처</t>
        </is>
      </c>
      <c r="E47" s="32" t="inlineStr">
        <is>
          <t>검증 시트</t>
        </is>
      </c>
    </row>
    <row r="48">
      <c r="A48" s="27" t="inlineStr">
        <is>
          <t>평균 (Mean, X̄)</t>
        </is>
      </c>
      <c r="B48" s="33" t="inlineStr">
        <is>
          <t>X̄ = (1/N) × Σ xi</t>
        </is>
      </c>
      <c r="C48" s="28" t="inlineStr">
        <is>
          <t>xi = 각 측정값, N = 표본 개수</t>
        </is>
      </c>
      <c r="D48" s="28" t="inlineStr">
        <is>
          <t>채취표본 value 열</t>
        </is>
      </c>
      <c r="E48" s="28" t="inlineStr">
        <is>
          <t>검증 §2 AVERAGE</t>
        </is>
      </c>
    </row>
    <row r="49">
      <c r="A49" s="27" t="inlineStr">
        <is>
          <t>σ_overall</t>
        </is>
      </c>
      <c r="B49" s="33" t="inlineStr">
        <is>
          <t>σ_overall = STDEV.S(xi)  [표본 표준편차, n-1]</t>
        </is>
      </c>
      <c r="C49" s="28" t="inlineStr">
        <is>
          <t>전체 측정값의 산포</t>
        </is>
      </c>
      <c r="D49" s="28" t="inlineStr">
        <is>
          <t>채취표본 value 열</t>
        </is>
      </c>
      <c r="E49" s="28" t="inlineStr">
        <is>
          <t>검증 §2 STDEV.S</t>
        </is>
      </c>
    </row>
    <row r="50"/>
    <row r="51">
      <c r="A51" s="31" t="inlineStr">
        <is>
          <t>6-1b. X-bar S 관리도 (n=5)</t>
        </is>
      </c>
    </row>
    <row r="52">
      <c r="A52" s="32" t="inlineStr">
        <is>
          <t>산출값</t>
        </is>
      </c>
      <c r="B52" s="32" t="inlineStr">
        <is>
          <t>산출식</t>
        </is>
      </c>
      <c r="C52" s="32" t="inlineStr">
        <is>
          <t>변수·기호 설명</t>
        </is>
      </c>
      <c r="D52" s="32" t="inlineStr">
        <is>
          <t>데이터 출처</t>
        </is>
      </c>
      <c r="E52" s="32" t="inlineStr">
        <is>
          <t>검증 시트</t>
        </is>
      </c>
    </row>
    <row r="53">
      <c r="A53" s="27" t="inlineStr">
        <is>
          <t>부군 평균 X̄i</t>
        </is>
      </c>
      <c r="B53" s="33" t="inlineStr">
        <is>
          <t>X̄i = (1/n) × Σ xij</t>
        </is>
      </c>
      <c r="C53" s="28" t="inlineStr">
        <is>
          <t>i=부군 번호</t>
        </is>
      </c>
      <c r="D53" s="28" t="inlineStr">
        <is>
          <t>Subgroup통계 Xbar</t>
        </is>
      </c>
      <c r="E53" s="28" t="inlineStr">
        <is>
          <t>Subgroup통계</t>
        </is>
      </c>
    </row>
    <row r="54">
      <c r="A54" s="27" t="inlineStr">
        <is>
          <t>X̿ (Xbar-bar)</t>
        </is>
      </c>
      <c r="B54" s="33" t="inlineStr">
        <is>
          <t>X̿ = (1/k) × Σ X̄i</t>
        </is>
      </c>
      <c r="C54" s="28" t="inlineStr">
        <is>
          <t>관리도 중심</t>
        </is>
      </c>
      <c r="D54" s="28" t="inlineStr">
        <is>
          <t>Subgroup통계</t>
        </is>
      </c>
      <c r="E54" s="28" t="inlineStr">
        <is>
          <t>검증 §3</t>
        </is>
      </c>
    </row>
    <row r="55">
      <c r="A55" s="27" t="inlineStr">
        <is>
          <t>부군 표준편차 Si</t>
        </is>
      </c>
      <c r="B55" s="33" t="inlineStr">
        <is>
          <t>Si = STDEV.S(xi1..xin)  [부군 내, n-1]</t>
        </is>
      </c>
      <c r="C55" s="28" t="inlineStr">
        <is>
          <t>부군 내 산포</t>
        </is>
      </c>
      <c r="D55" s="28" t="inlineStr">
        <is>
          <t>Subgroup통계 S</t>
        </is>
      </c>
      <c r="E55" s="28" t="inlineStr">
        <is>
          <t>Subgroup통계</t>
        </is>
      </c>
    </row>
    <row r="56">
      <c r="A56" s="27" t="inlineStr">
        <is>
          <t>S̄ (S-bar)</t>
        </is>
      </c>
      <c r="B56" s="33" t="inlineStr">
        <is>
          <t>S̄ = (1/k) × Σ Si</t>
        </is>
      </c>
      <c r="C56" s="28" t="inlineStr">
        <is>
          <t>평균 표준편차</t>
        </is>
      </c>
      <c r="D56" s="28" t="inlineStr">
        <is>
          <t>Subgroup통계</t>
        </is>
      </c>
      <c r="E56" s="28" t="inlineStr">
        <is>
          <t>검증 §3</t>
        </is>
      </c>
    </row>
    <row r="57">
      <c r="A57" s="27" t="inlineStr">
        <is>
          <t>σ_within</t>
        </is>
      </c>
      <c r="B57" s="33" t="inlineStr">
        <is>
          <t>σ_within = S̄ / c4(n)   [c4(5) 표 참조]</t>
        </is>
      </c>
      <c r="C57" s="28" t="inlineStr">
        <is>
          <t>단기 공정 산포</t>
        </is>
      </c>
      <c r="D57" s="28" t="inlineStr">
        <is>
          <t>S̄, AIAG c4</t>
        </is>
      </c>
      <c r="E57" s="28" t="inlineStr">
        <is>
          <t>검증 §3·§4</t>
        </is>
      </c>
    </row>
    <row r="58">
      <c r="A58" s="27" t="inlineStr">
        <is>
          <t>Xbar UCL / LCL</t>
        </is>
      </c>
      <c r="B58" s="33" t="inlineStr">
        <is>
          <t>UCL = X̿ + A3(n)×S̄
LCL = X̿ − A3(n)×S̄</t>
        </is>
      </c>
      <c r="C58" s="28" t="inlineStr">
        <is>
          <t>A3(5)</t>
        </is>
      </c>
      <c r="D58" s="28" t="inlineStr">
        <is>
          <t>Subgroup통계</t>
        </is>
      </c>
      <c r="E58" s="28" t="inlineStr">
        <is>
          <t>검증 §3</t>
        </is>
      </c>
    </row>
    <row r="59">
      <c r="A59" s="27" t="inlineStr">
        <is>
          <t>S 차트 UCL / LCL</t>
        </is>
      </c>
      <c r="B59" s="33" t="inlineStr">
        <is>
          <t>UCL_S = B4(n)×S̄
LCL_S = B3(n)×S̄</t>
        </is>
      </c>
      <c r="C59" s="28" t="inlineStr">
        <is>
          <t>B3,B4(5)</t>
        </is>
      </c>
      <c r="D59" s="28" t="inlineStr">
        <is>
          <t>관리한계 시트</t>
        </is>
      </c>
      <c r="E59" s="28" t="inlineStr">
        <is>
          <t>관리한계</t>
        </is>
      </c>
    </row>
    <row r="60"/>
    <row r="61">
      <c r="A61" s="31" t="inlineStr">
        <is>
          <t>6-2. 공정능력 (USL·LSL 입력 시)</t>
        </is>
      </c>
    </row>
    <row r="62">
      <c r="A62" s="32" t="inlineStr">
        <is>
          <t>산출값</t>
        </is>
      </c>
      <c r="B62" s="32" t="inlineStr">
        <is>
          <t>산출식</t>
        </is>
      </c>
      <c r="C62" s="32" t="inlineStr">
        <is>
          <t>변수·기호 설명</t>
        </is>
      </c>
      <c r="D62" s="32" t="inlineStr">
        <is>
          <t>데이터 출처</t>
        </is>
      </c>
      <c r="E62" s="32" t="inlineStr">
        <is>
          <t>검증 시트</t>
        </is>
      </c>
    </row>
    <row r="63">
      <c r="A63" s="27" t="inlineStr">
        <is>
          <t>Cp</t>
        </is>
      </c>
      <c r="B63" s="33" t="inlineStr">
        <is>
          <t>Cp = (USL − LSL) / (6 × σ_within)</t>
        </is>
      </c>
      <c r="C63" s="28" t="inlineStr">
        <is>
          <t>규격 폭 대비 공정 산포(위치 무관)</t>
        </is>
      </c>
      <c r="D63" s="28" t="inlineStr">
        <is>
          <t>USL, LSL + σ_within</t>
        </is>
      </c>
      <c r="E63" s="28" t="inlineStr">
        <is>
          <t>검증 §4</t>
        </is>
      </c>
    </row>
    <row r="64">
      <c r="A64" s="27" t="inlineStr">
        <is>
          <t>Cpu</t>
        </is>
      </c>
      <c r="B64" s="33" t="inlineStr">
        <is>
          <t>Cpu = (USL − X̄) / (3 × σ_within)</t>
        </is>
      </c>
      <c r="C64" s="28" t="inlineStr">
        <is>
          <t>상한까지 여유</t>
        </is>
      </c>
      <c r="D64" s="28" t="inlineStr">
        <is>
          <t>동일</t>
        </is>
      </c>
      <c r="E64" s="28" t="inlineStr">
        <is>
          <t>검증 §4</t>
        </is>
      </c>
    </row>
    <row r="65">
      <c r="A65" s="27" t="inlineStr">
        <is>
          <t>Cpl</t>
        </is>
      </c>
      <c r="B65" s="33" t="inlineStr">
        <is>
          <t>Cpl = (X̄ − LSL) / (3 × σ_within)</t>
        </is>
      </c>
      <c r="C65" s="28" t="inlineStr">
        <is>
          <t>하한까지 여유</t>
        </is>
      </c>
      <c r="D65" s="28" t="inlineStr">
        <is>
          <t>동일</t>
        </is>
      </c>
      <c r="E65" s="28" t="inlineStr">
        <is>
          <t>검증 §4</t>
        </is>
      </c>
    </row>
    <row r="66">
      <c r="A66" s="27" t="inlineStr">
        <is>
          <t>Cpk</t>
        </is>
      </c>
      <c r="B66" s="33" t="inlineStr">
        <is>
          <t>Cpk = min(Cpu, Cpl)</t>
        </is>
      </c>
      <c r="C66" s="28" t="inlineStr">
        <is>
          <t>치우친 쪽 기준 실질 능력</t>
        </is>
      </c>
      <c r="D66" s="28" t="inlineStr">
        <is>
          <t>동일</t>
        </is>
      </c>
      <c r="E66" s="28" t="inlineStr">
        <is>
          <t>검증 §4</t>
        </is>
      </c>
    </row>
    <row r="67">
      <c r="A67" s="27" t="inlineStr">
        <is>
          <t>Pp</t>
        </is>
      </c>
      <c r="B67" s="33" t="inlineStr">
        <is>
          <t>Pp = (USL − LSL) / (6 × σ_overall)</t>
        </is>
      </c>
      <c r="C67" s="28" t="inlineStr">
        <is>
          <t>전체 산포 기준 공정 폭</t>
        </is>
      </c>
      <c r="D67" s="28" t="inlineStr">
        <is>
          <t>σ_overall</t>
        </is>
      </c>
      <c r="E67" s="28" t="inlineStr">
        <is>
          <t>검증 §4</t>
        </is>
      </c>
    </row>
    <row r="68">
      <c r="A68" s="27" t="inlineStr">
        <is>
          <t>Ppk</t>
        </is>
      </c>
      <c r="B68" s="33" t="inlineStr">
        <is>
          <t>Ppk = min( (USL−X̄)/(3σ_overall), (X̄−LSL)/(3σ_overall) )</t>
        </is>
      </c>
      <c r="C68" s="28" t="inlineStr">
        <is>
          <t>전체 산포 기준 실질 능력</t>
        </is>
      </c>
      <c r="D68" s="28" t="inlineStr">
        <is>
          <t>동일</t>
        </is>
      </c>
      <c r="E68" s="28" t="inlineStr">
        <is>
          <t>검증 §4</t>
        </is>
      </c>
    </row>
    <row r="69">
      <c r="A69" s="27" t="inlineStr">
        <is>
          <t>예상 PPM</t>
        </is>
      </c>
      <c r="B69" s="33" t="inlineStr">
        <is>
          <t>PPM = [ P(X&gt;USL) + P(X&lt;LSL) ] × 1,000,000
P(X&gt;USL) = 1 − Φ((USL−X̄)/σ_within)
P(X&lt;LSL) = Φ((LSL−X̄)/σ_within)  [Φ=표준정규CDF]</t>
        </is>
      </c>
      <c r="C69" s="28" t="inlineStr">
        <is>
          <t>정규분포 가정</t>
        </is>
      </c>
      <c r="D69" s="28" t="inlineStr">
        <is>
          <t>X̄, σ_within, USL, LSL</t>
        </is>
      </c>
      <c r="E69" s="28" t="inlineStr">
        <is>
          <t>—</t>
        </is>
      </c>
    </row>
    <row r="70"/>
    <row r="71">
      <c r="A71" s="31" t="inlineStr">
        <is>
          <t>6-3. 정규성 검정</t>
        </is>
      </c>
    </row>
    <row r="72">
      <c r="A72" s="32" t="inlineStr">
        <is>
          <t>산출값</t>
        </is>
      </c>
      <c r="B72" s="32" t="inlineStr">
        <is>
          <t>산출식</t>
        </is>
      </c>
      <c r="C72" s="32" t="inlineStr">
        <is>
          <t>변수·기호 설명</t>
        </is>
      </c>
      <c r="D72" s="32" t="inlineStr">
        <is>
          <t>데이터 출처</t>
        </is>
      </c>
      <c r="E72" s="32" t="inlineStr">
        <is>
          <t>검증 시트</t>
        </is>
      </c>
    </row>
    <row r="73">
      <c r="A73" s="27" t="inlineStr">
        <is>
          <t>Shapiro-Wilk p-value</t>
        </is>
      </c>
      <c r="B73" s="33" t="inlineStr">
        <is>
          <t>p = Shapiro-Wilk(xi)  (N≤5000)
또는 D'Agostino 검정 (N&gt;5000)</t>
        </is>
      </c>
      <c r="C73" s="28" t="inlineStr">
        <is>
          <t>p ≥ α → 정규, p &lt; α → 비정규</t>
        </is>
      </c>
      <c r="D73" s="28" t="inlineStr">
        <is>
          <t>채취표본 전체 value</t>
        </is>
      </c>
      <c r="E73" s="28" t="inlineStr">
        <is>
          <t>검증 §5 (시트 교차)</t>
        </is>
      </c>
    </row>
    <row r="74">
      <c r="A74" s="27" t="inlineStr">
        <is>
          <t>정규성 판정</t>
        </is>
      </c>
      <c r="B74" s="33" t="inlineStr">
        <is>
          <t>정규  if  p-value ≥ α  (기본 α=0.05)</t>
        </is>
      </c>
      <c r="C74" s="28" t="inlineStr">
        <is>
          <t>α = 유의수준</t>
        </is>
      </c>
      <c r="D74" s="28" t="inlineStr">
        <is>
          <t>정규성검정 시트</t>
        </is>
      </c>
      <c r="E74" s="28" t="inlineStr">
        <is>
          <t>정규성검정</t>
        </is>
      </c>
    </row>
    <row r="75"/>
    <row r="76"/>
    <row r="77">
      <c r="A77" s="34" t="inlineStr">
        <is>
          <t>■ 보고서 시트 읽는 순서 (추천)</t>
        </is>
      </c>
    </row>
    <row r="78">
      <c r="A78" s="35" t="inlineStr">
        <is>
          <t>1</t>
        </is>
      </c>
      <c r="B78" s="36" t="inlineStr">
        <is>
          <t>용어_초보가이드</t>
        </is>
      </c>
      <c r="C78" s="37" t="inlineStr">
        <is>
          <t>지금 보고 계신 시트 — 용어·판단 기준</t>
        </is>
      </c>
    </row>
    <row r="79">
      <c r="A79" s="35" t="inlineStr">
        <is>
          <t>2</t>
        </is>
      </c>
      <c r="B79" s="36" t="inlineStr">
        <is>
          <t>종합</t>
        </is>
      </c>
      <c r="C79" s="37" t="inlineStr">
        <is>
          <t>한 페이지 요약, 차트, 결론</t>
        </is>
      </c>
    </row>
    <row r="80">
      <c r="A80" s="35" t="inlineStr">
        <is>
          <t>3</t>
        </is>
      </c>
      <c r="B80" s="36" t="inlineStr">
        <is>
          <t>검증_수식연계</t>
        </is>
      </c>
      <c r="C80" s="37" t="inlineStr">
        <is>
          <t>숫자가 맞게 계산됐는지 Excel 수식으로 확인</t>
        </is>
      </c>
    </row>
    <row r="81">
      <c r="A81" s="35" t="inlineStr">
        <is>
          <t>4</t>
        </is>
      </c>
      <c r="B81" s="36" t="inlineStr">
        <is>
          <t>채취표본</t>
        </is>
      </c>
      <c r="C81" s="37" t="inlineStr">
        <is>
          <t>분석에 쓴 측정 데이터</t>
        </is>
      </c>
    </row>
    <row r="82">
      <c r="A82" s="35" t="inlineStr">
        <is>
          <t>5</t>
        </is>
      </c>
      <c r="B82" s="36" t="inlineStr">
        <is>
          <t>Subgroup통계 / Individual통계</t>
        </is>
      </c>
      <c r="C82" s="37" t="inlineStr">
        <is>
          <t>관리도용 요약 통계</t>
        </is>
      </c>
    </row>
    <row r="83">
      <c r="A83" s="35" t="inlineStr">
        <is>
          <t>6</t>
        </is>
      </c>
      <c r="B83" s="36" t="inlineStr">
        <is>
          <t>공정능력 · 정규성검정 · 관리한계</t>
        </is>
      </c>
      <c r="C83" s="37" t="inlineStr">
        <is>
          <t>상세 수치표</t>
        </is>
      </c>
    </row>
    <row r="84"/>
    <row r="85"/>
    <row r="86">
      <c r="A86" s="38" t="inlineStr">
        <is>
          <t>■ 자주 쓰는 판단 기준 (일반적인 가이드)</t>
        </is>
      </c>
    </row>
    <row r="87">
      <c r="A87" s="39" t="inlineStr">
        <is>
          <t>· Cpk ≥ 1.33 : 많은 현장에서 「공정이 규격 안에 잘 들어온다」고 보는 기준(회사별 기준은 다를 수 있음)</t>
        </is>
      </c>
    </row>
    <row r="88">
      <c r="A88" s="39" t="inlineStr">
        <is>
          <t>· p-value ≥ 0.05 : 정규성 검정에서 「데이터가 정규분포와 크게 다르지 않다」고 보는 일반적 기준(유의수준 5%)</t>
        </is>
      </c>
    </row>
    <row r="89">
      <c r="A89" s="39" t="inlineStr">
        <is>
          <t>· 관리도 점이 UCL/LCL 밖 : 그 시점에 특별한 원인(이상)이 있었을 가능성 — 원인 조사 권장</t>
        </is>
      </c>
    </row>
    <row r="90">
      <c r="A90" s="39" t="inlineStr">
        <is>
          <t>· Cp는 좋은데 Cpk가 낮음 : 산포는 괜찮지만 평균이 규격 중심에서 벗어남 → 위치 조정 필요</t>
        </is>
      </c>
    </row>
  </sheetData>
  <mergeCells count="25">
    <mergeCell ref="A77:E77"/>
    <mergeCell ref="A90:F90"/>
    <mergeCell ref="A4:D4"/>
    <mergeCell ref="C80:E80"/>
    <mergeCell ref="A20:D20"/>
    <mergeCell ref="A51:E51"/>
    <mergeCell ref="A89:F89"/>
    <mergeCell ref="A61:E61"/>
    <mergeCell ref="A28:D28"/>
    <mergeCell ref="A86:F86"/>
    <mergeCell ref="A2:F2"/>
    <mergeCell ref="A46:E46"/>
    <mergeCell ref="A11:D11"/>
    <mergeCell ref="C82:E82"/>
    <mergeCell ref="C81:E81"/>
    <mergeCell ref="A71:E71"/>
    <mergeCell ref="C78:E78"/>
    <mergeCell ref="C83:E83"/>
    <mergeCell ref="A37:D37"/>
    <mergeCell ref="A43:E43"/>
    <mergeCell ref="A1:F1"/>
    <mergeCell ref="C79:E79"/>
    <mergeCell ref="A88:F88"/>
    <mergeCell ref="A44:E44"/>
    <mergeCell ref="A87:F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14" customWidth="1" min="4" max="4"/>
    <col width="10" customWidth="1" min="5" max="5"/>
    <col width="8" customWidth="1" min="6" max="6"/>
    <col width="28" customWidth="1" min="7" max="7"/>
  </cols>
  <sheetData>
    <row r="1">
      <c r="A1" s="40" t="inlineStr">
        <is>
          <t>SPC 산출값 검증 · 데이터·수식 연계</t>
        </is>
      </c>
    </row>
    <row r="2">
      <c r="A2" s="41" t="inlineStr">
        <is>
          <t>프로그램 산출값(B열)과 Excel 수식(C열→D열 계산)을 비교합니다. 수식은 영문 Excel 표준 형식(AVERAGE, STDEV.S, MIN 등)이며, 채취표본 시트의 측정값 열·데이터 행 수는 보고서 생성 시 자동 탐지됩니다. 측정값 자동 연결: 채취표본!$F$2:$F$21 [헤더=value]</t>
        </is>
      </c>
    </row>
    <row r="3"/>
    <row r="4">
      <c r="A4" s="42" t="inlineStr">
        <is>
          <t>1. 보고서 데이터 연계 맵</t>
        </is>
      </c>
    </row>
    <row r="5">
      <c r="A5" s="43" t="inlineStr">
        <is>
          <t>종합/요약 항목</t>
        </is>
      </c>
      <c r="B5" s="43" t="inlineStr">
        <is>
          <t>출처 시트</t>
        </is>
      </c>
      <c r="C5" s="43" t="inlineStr">
        <is>
          <t>Excel 참조</t>
        </is>
      </c>
      <c r="D5" s="43" t="inlineStr">
        <is>
          <t>설명</t>
        </is>
      </c>
    </row>
    <row r="6">
      <c r="A6" s="44" t="inlineStr">
        <is>
          <t>표본·평균·σ_overall</t>
        </is>
      </c>
      <c r="B6" s="44" t="inlineStr">
        <is>
          <t>채취표본</t>
        </is>
      </c>
      <c r="C6" s="44" t="inlineStr">
        <is>
          <t>채취표본!$F$2:$F$21</t>
        </is>
      </c>
      <c r="D6" s="44" t="inlineStr">
        <is>
          <t>측정값 열 자동(value)</t>
        </is>
      </c>
    </row>
    <row r="7">
      <c r="A7" s="44" t="inlineStr">
        <is>
          <t>Subgroup Xbar / R / S</t>
        </is>
      </c>
      <c r="B7" s="44" t="inlineStr">
        <is>
          <t>Subgroup통계</t>
        </is>
      </c>
      <c r="C7" s="44" t="inlineStr">
        <is>
          <t>Xbar·R 또는 S</t>
        </is>
      </c>
      <c r="D7" s="44" t="inlineStr">
        <is>
          <t>X-bar 관리도</t>
        </is>
      </c>
    </row>
    <row r="8">
      <c r="A8" s="44" t="inlineStr">
        <is>
          <t>I / MR</t>
        </is>
      </c>
      <c r="B8" s="44" t="inlineStr">
        <is>
          <t>Individual통계</t>
        </is>
      </c>
      <c r="C8" s="44" t="inlineStr">
        <is>
          <t>I·MR 열</t>
        </is>
      </c>
      <c r="D8" s="44" t="inlineStr">
        <is>
          <t>I-MR 관리도</t>
        </is>
      </c>
    </row>
    <row r="9">
      <c r="A9" s="44" t="inlineStr">
        <is>
          <t>관리한계</t>
        </is>
      </c>
      <c r="B9" s="44" t="inlineStr">
        <is>
          <t>관리한계</t>
        </is>
      </c>
      <c r="C9" s="44" t="inlineStr">
        <is>
          <t>차트·항목별 행</t>
        </is>
      </c>
      <c r="D9" s="44" t="inlineStr">
        <is>
          <t>AIAG 상수</t>
        </is>
      </c>
    </row>
    <row r="10">
      <c r="A10" s="44" t="inlineStr">
        <is>
          <t>Cp/Cpk/Pp/Ppk</t>
        </is>
      </c>
      <c r="B10" s="44" t="inlineStr">
        <is>
          <t>공정능력</t>
        </is>
      </c>
      <c r="C10" s="44" t="inlineStr">
        <is>
          <t>행200 기준값·수식</t>
        </is>
      </c>
      <c r="D10" s="44" t="inlineStr">
        <is>
          <t>본 시트 §4</t>
        </is>
      </c>
    </row>
    <row r="11">
      <c r="A11" s="44" t="inlineStr">
        <is>
          <t>정규성</t>
        </is>
      </c>
      <c r="B11" s="44" t="inlineStr">
        <is>
          <t>정규성검정</t>
        </is>
      </c>
      <c r="C11" s="44" t="inlineStr">
        <is>
          <t>정규성검정!$C$2</t>
        </is>
      </c>
      <c r="D11" s="44" t="inlineStr">
        <is>
          <t>p-value 열 자동 탐지</t>
        </is>
      </c>
    </row>
    <row r="12"/>
    <row r="13">
      <c r="A13" s="42" t="inlineStr">
        <is>
          <t>2. 채취표본 기반 통계 (Excel 재계산)</t>
        </is>
      </c>
    </row>
    <row r="14">
      <c r="A14" s="43" t="inlineStr">
        <is>
          <t>항목</t>
        </is>
      </c>
      <c r="B14" s="43" t="inlineStr">
        <is>
          <t>프로그램 산출</t>
        </is>
      </c>
      <c r="C14" s="43" t="inlineStr">
        <is>
          <t>Excel 검증 수식</t>
        </is>
      </c>
      <c r="D14" s="43" t="inlineStr">
        <is>
          <t>Excel 계산값</t>
        </is>
      </c>
      <c r="E14" s="43" t="inlineStr">
        <is>
          <t>차이</t>
        </is>
      </c>
      <c r="F14" s="43" t="inlineStr">
        <is>
          <t>일치</t>
        </is>
      </c>
      <c r="G14" s="43" t="inlineStr">
        <is>
          <t>연계 시트/범위</t>
        </is>
      </c>
    </row>
    <row r="15">
      <c r="A15" s="44" t="inlineStr">
        <is>
          <t>표본수 n</t>
        </is>
      </c>
      <c r="B15" s="45" t="n">
        <v>20</v>
      </c>
      <c r="C15" s="46">
        <f>COUNT(채취표본!$F$2:$F$21)</f>
        <v/>
      </c>
      <c r="D15" s="45">
        <f>C15</f>
        <v/>
      </c>
      <c r="E15" s="45">
        <f>ABS(B15-D15)</f>
        <v/>
      </c>
      <c r="F15" s="44">
        <f>IF(ABS(B15-D15)&lt;0.0001,"OK","NG")</f>
        <v/>
      </c>
      <c r="G15" s="46" t="inlineStr">
        <is>
          <t>채취표본!$F$2:$F$21</t>
        </is>
      </c>
    </row>
    <row r="16">
      <c r="A16" s="44" t="inlineStr">
        <is>
          <t>평균 Mean</t>
        </is>
      </c>
      <c r="B16" s="45" t="n">
        <v>10.03245</v>
      </c>
      <c r="C16" s="46">
        <f>AVERAGE(채취표본!$F$2:$F$21)</f>
        <v/>
      </c>
      <c r="D16" s="45">
        <f>C16</f>
        <v/>
      </c>
      <c r="E16" s="45">
        <f>ABS(B16-D16)</f>
        <v/>
      </c>
      <c r="F16" s="44">
        <f>IF(ABS(B16-D16)&lt;0.0001,"OK","NG")</f>
        <v/>
      </c>
      <c r="G16" s="46" t="inlineStr">
        <is>
          <t>채취표본!$F$2:$F$21</t>
        </is>
      </c>
    </row>
    <row r="17">
      <c r="A17" s="44" t="inlineStr">
        <is>
          <t>σ_overall STDEV.S</t>
        </is>
      </c>
      <c r="B17" s="45" t="n">
        <v>0.07553150963252617</v>
      </c>
      <c r="C17" s="46">
        <f>_xlfn.STDEV.S(채취표본!$F$2:$F$21)</f>
        <v/>
      </c>
      <c r="D17" s="45">
        <f>C17</f>
        <v/>
      </c>
      <c r="E17" s="45">
        <f>ABS(B17-D17)</f>
        <v/>
      </c>
      <c r="F17" s="44">
        <f>IF(ABS(B17-D17)&lt;0.0001,"OK","NG")</f>
        <v/>
      </c>
      <c r="G17" s="46" t="inlineStr">
        <is>
          <t>채취표본!$F$2:$F$21</t>
        </is>
      </c>
    </row>
    <row r="18"/>
    <row r="19">
      <c r="A19" s="42" t="inlineStr">
        <is>
          <t>3. 관리도 한계 검증</t>
        </is>
      </c>
    </row>
    <row r="20">
      <c r="A20" s="43" t="inlineStr">
        <is>
          <t>항목</t>
        </is>
      </c>
      <c r="B20" s="43" t="inlineStr">
        <is>
          <t>프로그램 산출</t>
        </is>
      </c>
      <c r="C20" s="43" t="inlineStr">
        <is>
          <t>Excel 검증 수식</t>
        </is>
      </c>
      <c r="D20" s="43" t="inlineStr">
        <is>
          <t>Excel 계산값</t>
        </is>
      </c>
      <c r="E20" s="43" t="inlineStr">
        <is>
          <t>차이</t>
        </is>
      </c>
      <c r="F20" s="43" t="inlineStr">
        <is>
          <t>일치</t>
        </is>
      </c>
      <c r="G20" s="43" t="inlineStr">
        <is>
          <t>연계 시트/범위</t>
        </is>
      </c>
    </row>
    <row r="21">
      <c r="A21" s="44" t="inlineStr">
        <is>
          <t>X̿ (Xbar-bar)</t>
        </is>
      </c>
      <c r="B21" s="45" t="n">
        <v>10.03245</v>
      </c>
      <c r="C21" s="46">
        <f>AVERAGE(Subgroup통계!$B$2:$B$5)</f>
        <v/>
      </c>
      <c r="D21" s="45">
        <f>C21</f>
        <v/>
      </c>
      <c r="E21" s="45">
        <f>ABS(B21-D21)</f>
        <v/>
      </c>
      <c r="F21" s="44">
        <f>IF(ABS(B21-D21)&lt;1e-05,"OK","NG")</f>
        <v/>
      </c>
      <c r="G21" s="46" t="inlineStr">
        <is>
          <t>Subgroup통계!$B$2:$B$5</t>
        </is>
      </c>
    </row>
    <row r="22">
      <c r="A22" s="44" t="inlineStr">
        <is>
          <t>S̄</t>
        </is>
      </c>
      <c r="B22" s="45" t="n">
        <v>0.0717201842879035</v>
      </c>
      <c r="C22" s="46">
        <f>AVERAGE(Subgroup통계!$C$2:$C$5)</f>
        <v/>
      </c>
      <c r="D22" s="45">
        <f>C22</f>
        <v/>
      </c>
      <c r="E22" s="45">
        <f>ABS(B22-D22)</f>
        <v/>
      </c>
      <c r="F22" s="44">
        <f>IF(ABS(B22-D22)&lt;1e-05,"OK","NG")</f>
        <v/>
      </c>
      <c r="G22" s="46" t="inlineStr">
        <is>
          <t>Subgroup통계!$C$2:$C$5</t>
        </is>
      </c>
    </row>
    <row r="23">
      <c r="A23" s="44" t="inlineStr">
        <is>
          <t>σ_within=S̄/c4</t>
        </is>
      </c>
      <c r="B23" s="45" t="n">
        <v>0.07629806839138671</v>
      </c>
      <c r="C23" s="46">
        <f>AVERAGE(Subgroup통계!$C$2:$C$5)/0.94</f>
        <v/>
      </c>
      <c r="D23" s="45">
        <f>C23</f>
        <v/>
      </c>
      <c r="E23" s="45">
        <f>ABS(B23-D23)</f>
        <v/>
      </c>
      <c r="F23" s="44">
        <f>IF(ABS(B23-D23)&lt;1e-05,"OK","NG")</f>
        <v/>
      </c>
      <c r="G23" s="46" t="inlineStr">
        <is>
          <t>c4=0.94</t>
        </is>
      </c>
    </row>
    <row r="24">
      <c r="A24" s="44" t="inlineStr">
        <is>
          <t>Xbar UCL</t>
        </is>
      </c>
      <c r="B24" s="45" t="n">
        <v>10.13479470297884</v>
      </c>
      <c r="C24" s="46">
        <f>AVERAGE(Subgroup통계!$B$2:$B$5)+1.427*AVERAGE(Subgroup통계!$C$2:$C$5)</f>
        <v/>
      </c>
      <c r="D24" s="45">
        <f>C24</f>
        <v/>
      </c>
      <c r="E24" s="45">
        <f>ABS(B24-D24)</f>
        <v/>
      </c>
      <c r="F24" s="44">
        <f>IF(ABS(B24-D24)&lt;1e-05,"OK","NG")</f>
        <v/>
      </c>
      <c r="G24" s="46" t="inlineStr">
        <is>
          <t>A3=1.427</t>
        </is>
      </c>
    </row>
    <row r="25"/>
    <row r="26"/>
    <row r="27">
      <c r="A27" s="42" t="inlineStr">
        <is>
          <t>4. 공정능력 지표 검증 (AIAG 수식)</t>
        </is>
      </c>
    </row>
    <row r="28">
      <c r="A28" s="43" t="inlineStr">
        <is>
          <t>항목</t>
        </is>
      </c>
      <c r="B28" s="43" t="inlineStr">
        <is>
          <t>프로그램 산출</t>
        </is>
      </c>
      <c r="C28" s="43" t="inlineStr">
        <is>
          <t>Excel 검증 수식</t>
        </is>
      </c>
      <c r="D28" s="43" t="inlineStr">
        <is>
          <t>Excel 계산값</t>
        </is>
      </c>
      <c r="E28" s="43" t="inlineStr">
        <is>
          <t>차이</t>
        </is>
      </c>
      <c r="F28" s="43" t="inlineStr">
        <is>
          <t>일치</t>
        </is>
      </c>
      <c r="G28" s="43" t="inlineStr">
        <is>
          <t>연계 시트/범위</t>
        </is>
      </c>
    </row>
    <row r="29">
      <c r="A29" s="44" t="inlineStr">
        <is>
          <t>Cp (수식검증)</t>
        </is>
      </c>
      <c r="B29" s="45" t="n">
        <v>2.184415283119824</v>
      </c>
      <c r="C29" s="46">
        <f>IF((6*$B$203)=0,0,(($B$200-$B$201))/(6*$B$203))</f>
        <v/>
      </c>
      <c r="D29" s="45">
        <f>C29</f>
        <v/>
      </c>
      <c r="E29" s="45">
        <f>ABS(B29-D29)</f>
        <v/>
      </c>
      <c r="F29" s="44">
        <f>IF(ABS(B29-D29)&lt;0.0002,"OK","NG")</f>
        <v/>
      </c>
      <c r="G29" s="46" t="inlineStr">
        <is>
          <t>6*sigma_within; sheet=공정능력!$F$2</t>
        </is>
      </c>
    </row>
    <row r="30">
      <c r="A30" s="44" t="inlineStr">
        <is>
          <t>Cp (시트교차)</t>
        </is>
      </c>
      <c r="B30" s="45" t="n">
        <v>2.184415283119824</v>
      </c>
      <c r="C30" s="46">
        <f>공정능력!$F$2</f>
        <v/>
      </c>
      <c r="D30" s="45">
        <f>C30</f>
        <v/>
      </c>
      <c r="E30" s="45">
        <f>ABS(B30-D30)</f>
        <v/>
      </c>
      <c r="F30" s="44">
        <f>IF(ABS(B30-D30)&lt;0.0002,"OK","NG")</f>
        <v/>
      </c>
      <c r="G30" s="46" t="inlineStr">
        <is>
          <t>공정능력 row 2</t>
        </is>
      </c>
    </row>
    <row r="31">
      <c r="A31" s="44" t="inlineStr">
        <is>
          <t>Cpu (수식검증)</t>
        </is>
      </c>
      <c r="B31" s="45" t="n">
        <v>2.042646731245359</v>
      </c>
      <c r="C31" s="46">
        <f>IF((3*$B$203)=0,0,(($B$200-$B$202))/(3*$B$203))</f>
        <v/>
      </c>
      <c r="D31" s="45">
        <f>C31</f>
        <v/>
      </c>
      <c r="E31" s="45">
        <f>ABS(B31-D31)</f>
        <v/>
      </c>
      <c r="F31" s="44">
        <f>IF(ABS(B31-D31)&lt;0.0002,"OK","NG")</f>
        <v/>
      </c>
      <c r="G31" s="46" t="inlineStr">
        <is>
          <t>3*sigma_within; sheet=공정능력!$J$2</t>
        </is>
      </c>
    </row>
    <row r="32">
      <c r="A32" s="44" t="inlineStr">
        <is>
          <t>Cpu (시트교차)</t>
        </is>
      </c>
      <c r="B32" s="45" t="n">
        <v>2.042646731245359</v>
      </c>
      <c r="C32" s="46">
        <f>공정능력!$J$2</f>
        <v/>
      </c>
      <c r="D32" s="45">
        <f>C32</f>
        <v/>
      </c>
      <c r="E32" s="45">
        <f>ABS(B32-D32)</f>
        <v/>
      </c>
      <c r="F32" s="44">
        <f>IF(ABS(B32-D32)&lt;0.0002,"OK","NG")</f>
        <v/>
      </c>
      <c r="G32" s="46" t="inlineStr">
        <is>
          <t>공정능력 row 2</t>
        </is>
      </c>
    </row>
    <row r="33">
      <c r="A33" s="44" t="inlineStr">
        <is>
          <t>Cpl (수식검증)</t>
        </is>
      </c>
      <c r="B33" s="45" t="n">
        <v>2.326183834994288</v>
      </c>
      <c r="C33" s="46">
        <f>IF((3*$B$203)=0,0,(($B$202-$B$201))/(3*$B$203))</f>
        <v/>
      </c>
      <c r="D33" s="45">
        <f>C33</f>
        <v/>
      </c>
      <c r="E33" s="45">
        <f>ABS(B33-D33)</f>
        <v/>
      </c>
      <c r="F33" s="44">
        <f>IF(ABS(B33-D33)&lt;0.0002,"OK","NG")</f>
        <v/>
      </c>
      <c r="G33" s="46" t="inlineStr">
        <is>
          <t>3*sigma_within; sheet=공정능력!$K$2</t>
        </is>
      </c>
    </row>
    <row r="34">
      <c r="A34" s="44" t="inlineStr">
        <is>
          <t>Cpl (시트교차)</t>
        </is>
      </c>
      <c r="B34" s="45" t="n">
        <v>2.326183834994288</v>
      </c>
      <c r="C34" s="46">
        <f>공정능력!$K$2</f>
        <v/>
      </c>
      <c r="D34" s="45">
        <f>C34</f>
        <v/>
      </c>
      <c r="E34" s="45">
        <f>ABS(B34-D34)</f>
        <v/>
      </c>
      <c r="F34" s="44">
        <f>IF(ABS(B34-D34)&lt;0.0002,"OK","NG")</f>
        <v/>
      </c>
      <c r="G34" s="46" t="inlineStr">
        <is>
          <t>공정능력 row 2</t>
        </is>
      </c>
    </row>
    <row r="35">
      <c r="A35" s="44" t="inlineStr">
        <is>
          <t>Cpk (수식검증)</t>
        </is>
      </c>
      <c r="B35" s="45" t="n">
        <v>2.042646731245359</v>
      </c>
      <c r="C35" s="46">
        <f>MIN(IF((3*$B$203)=0,0,(($B$200-$B$202))/(3*$B$203)),IF((3*$B$203)=0,0,(($B$202-$B$201))/(3*$B$203)))</f>
        <v/>
      </c>
      <c r="D35" s="45">
        <f>C35</f>
        <v/>
      </c>
      <c r="E35" s="45">
        <f>ABS(B35-D35)</f>
        <v/>
      </c>
      <c r="F35" s="44">
        <f>IF(ABS(B35-D35)&lt;0.0002,"OK","NG")</f>
        <v/>
      </c>
      <c r="G35" s="46" t="inlineStr">
        <is>
          <t>min(Cpu,Cpl); sheet=공정능력!$G$2</t>
        </is>
      </c>
    </row>
    <row r="36">
      <c r="A36" s="44" t="inlineStr">
        <is>
          <t>Cpk (시트교차)</t>
        </is>
      </c>
      <c r="B36" s="45" t="n">
        <v>2.042646731245359</v>
      </c>
      <c r="C36" s="46">
        <f>공정능력!$G$2</f>
        <v/>
      </c>
      <c r="D36" s="45">
        <f>C36</f>
        <v/>
      </c>
      <c r="E36" s="45">
        <f>ABS(B36-D36)</f>
        <v/>
      </c>
      <c r="F36" s="44">
        <f>IF(ABS(B36-D36)&lt;0.0002,"OK","NG")</f>
        <v/>
      </c>
      <c r="G36" s="46" t="inlineStr">
        <is>
          <t>공정능력 row 2</t>
        </is>
      </c>
    </row>
    <row r="37">
      <c r="A37" s="44" t="inlineStr">
        <is>
          <t>Pp (수식검증)</t>
        </is>
      </c>
      <c r="B37" s="45" t="n">
        <v>2.206584609225061</v>
      </c>
      <c r="C37" s="46">
        <f>IF((6*$B$204)=0,0,(($B$200-$B$201))/(6*$B$204))</f>
        <v/>
      </c>
      <c r="D37" s="45">
        <f>C37</f>
        <v/>
      </c>
      <c r="E37" s="45">
        <f>ABS(B37-D37)</f>
        <v/>
      </c>
      <c r="F37" s="44">
        <f>IF(ABS(B37-D37)&lt;0.0002,"OK","NG")</f>
        <v/>
      </c>
      <c r="G37" s="46" t="inlineStr">
        <is>
          <t>6*sigma_overall; sheet=공정능력!$H$2</t>
        </is>
      </c>
    </row>
    <row r="38">
      <c r="A38" s="44" t="inlineStr">
        <is>
          <t>Pp (시트교차)</t>
        </is>
      </c>
      <c r="B38" s="45" t="n">
        <v>2.206584609225061</v>
      </c>
      <c r="C38" s="46">
        <f>공정능력!$H$2</f>
        <v/>
      </c>
      <c r="D38" s="45">
        <f>C38</f>
        <v/>
      </c>
      <c r="E38" s="45">
        <f>ABS(B38-D38)</f>
        <v/>
      </c>
      <c r="F38" s="44">
        <f>IF(ABS(B38-D38)&lt;0.0002,"OK","NG")</f>
        <v/>
      </c>
      <c r="G38" s="46" t="inlineStr">
        <is>
          <t>공정능력 row 2</t>
        </is>
      </c>
    </row>
    <row r="39">
      <c r="A39" s="44" t="inlineStr">
        <is>
          <t>Ppk (수식검증)</t>
        </is>
      </c>
      <c r="B39" s="45" t="n">
        <v>2.063377268086367</v>
      </c>
      <c r="C39" s="46">
        <f>MIN(IF((3*$B$204)=0,0,(($B$200-$B$202))/(3*$B$204)),IF((3*$B$204)=0,0,(($B$202-$B$201))/(3*$B$204)))</f>
        <v/>
      </c>
      <c r="D39" s="45">
        <f>C39</f>
        <v/>
      </c>
      <c r="E39" s="45">
        <f>ABS(B39-D39)</f>
        <v/>
      </c>
      <c r="F39" s="44">
        <f>IF(ABS(B39-D39)&lt;0.0002,"OK","NG")</f>
        <v/>
      </c>
      <c r="G39" s="46" t="inlineStr">
        <is>
          <t>min(Ppu,Ppl); sheet=공정능력!$I$2</t>
        </is>
      </c>
    </row>
    <row r="40">
      <c r="A40" s="44" t="inlineStr">
        <is>
          <t>Ppk (시트교차)</t>
        </is>
      </c>
      <c r="B40" s="45" t="n">
        <v>2.063377268086367</v>
      </c>
      <c r="C40" s="46">
        <f>공정능력!$I$2</f>
        <v/>
      </c>
      <c r="D40" s="45">
        <f>C40</f>
        <v/>
      </c>
      <c r="E40" s="45">
        <f>ABS(B40-D40)</f>
        <v/>
      </c>
      <c r="F40" s="44">
        <f>IF(ABS(B40-D40)&lt;0.0002,"OK","NG")</f>
        <v/>
      </c>
      <c r="G40" s="46" t="inlineStr">
        <is>
          <t>공정능력 row 2</t>
        </is>
      </c>
    </row>
    <row r="41"/>
    <row r="42">
      <c r="A42" s="42" t="inlineStr">
        <is>
          <t>5. 정규성·시트 교차참조</t>
        </is>
      </c>
    </row>
    <row r="43">
      <c r="A43" s="43" t="inlineStr">
        <is>
          <t>항목</t>
        </is>
      </c>
      <c r="B43" s="43" t="inlineStr">
        <is>
          <t>프로그램 산출</t>
        </is>
      </c>
      <c r="C43" s="43" t="inlineStr">
        <is>
          <t>Excel 검증 수식</t>
        </is>
      </c>
      <c r="D43" s="43" t="inlineStr">
        <is>
          <t>Excel 계산값</t>
        </is>
      </c>
      <c r="E43" s="43" t="inlineStr">
        <is>
          <t>차이</t>
        </is>
      </c>
      <c r="F43" s="43" t="inlineStr">
        <is>
          <t>일치</t>
        </is>
      </c>
      <c r="G43" s="43" t="inlineStr">
        <is>
          <t>연계 시트/범위</t>
        </is>
      </c>
    </row>
    <row r="44">
      <c r="A44" s="44" t="inlineStr">
        <is>
          <t>p-value</t>
        </is>
      </c>
      <c r="B44" s="45" t="n">
        <v>0.8701449233462142</v>
      </c>
      <c r="C44" s="46">
        <f>정규성검정!$C$2</f>
        <v/>
      </c>
      <c r="D44" s="45">
        <f>C44</f>
        <v/>
      </c>
      <c r="E44" s="45">
        <f>ABS(B44-D44)</f>
        <v/>
      </c>
      <c r="F44" s="44">
        <f>IF(ABS(B44-D44)&lt;1e-06,"OK","NG")</f>
        <v/>
      </c>
      <c r="G44" s="46" t="inlineStr">
        <is>
          <t>정규성검정!$C$2 자동 참조. Excel 표준 함수로 Shapiro-Wilk p-value 계산 불가 (SWTEST/SHAPIRO 없음, Real Statistics 등 애드인만 별도 지원).</t>
        </is>
      </c>
    </row>
    <row r="45">
      <c r="A45" s="44" t="inlineStr">
        <is>
          <t>표본수 n</t>
        </is>
      </c>
      <c r="B45" s="45" t="n">
        <v>20</v>
      </c>
      <c r="C45" s="46">
        <f>COUNT(채취표본!$F$2:$F$21)</f>
        <v/>
      </c>
      <c r="D45" s="45">
        <f>C45</f>
        <v/>
      </c>
      <c r="E45" s="45">
        <f>ABS(B45-D45)</f>
        <v/>
      </c>
      <c r="F45" s="44">
        <f>IF(ABS(B45-D45)&lt;0.0001,"OK","NG")</f>
        <v/>
      </c>
      <c r="G45" s="46" t="inlineStr">
        <is>
          <t>채취표본</t>
        </is>
      </c>
    </row>
    <row r="46">
      <c r="A46" s="44" t="inlineStr">
        <is>
          <t>관리한계 Xbar UCL</t>
        </is>
      </c>
      <c r="B46" s="45" t="n">
        <v>10.13479470297884</v>
      </c>
      <c r="C46" s="46">
        <f>SUMIFS('관리한계'!$C$2:$C$7,'관리한계'!$A$2:$A$7,"Xbar",'관리한계'!$B$2:$B$7,"UCL")</f>
        <v/>
      </c>
      <c r="D46" s="45">
        <f>C46</f>
        <v/>
      </c>
      <c r="E46" s="45">
        <f>ABS(B46-D46)</f>
        <v/>
      </c>
      <c r="F46" s="44">
        <f>IF(ABS(B46-D46)&lt;1e-05,"OK","NG")</f>
        <v/>
      </c>
      <c r="G46" s="46" t="inlineStr">
        <is>
          <t>관리한계</t>
        </is>
      </c>
    </row>
    <row r="47">
      <c r="A47" s="44" t="inlineStr">
        <is>
          <t>관리한계 Xbar CL</t>
        </is>
      </c>
      <c r="B47" s="45" t="n">
        <v>10.03245</v>
      </c>
      <c r="C47" s="46">
        <f>SUMIFS('관리한계'!$C$2:$C$7,'관리한계'!$A$2:$A$7,"Xbar",'관리한계'!$B$2:$B$7,"CL")</f>
        <v/>
      </c>
      <c r="D47" s="45">
        <f>C47</f>
        <v/>
      </c>
      <c r="E47" s="45">
        <f>ABS(B47-D47)</f>
        <v/>
      </c>
      <c r="F47" s="44">
        <f>IF(ABS(B47-D47)&lt;1e-05,"OK","NG")</f>
        <v/>
      </c>
      <c r="G47" s="46" t="inlineStr">
        <is>
          <t>관리한계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7" t="inlineStr">
        <is>
          <t>※ 공정능력 수식 기준값 (자동 채움, 수정 가능)</t>
        </is>
      </c>
    </row>
    <row r="200">
      <c r="A200" s="48" t="inlineStr">
        <is>
          <t>USL</t>
        </is>
      </c>
      <c r="B200" s="49">
        <f>공정능력!$A$2</f>
        <v/>
      </c>
    </row>
    <row r="201">
      <c r="A201" s="48" t="inlineStr">
        <is>
          <t>LSL</t>
        </is>
      </c>
      <c r="B201" s="49">
        <f>공정능력!$B$2</f>
        <v/>
      </c>
    </row>
    <row r="202">
      <c r="A202" s="48" t="inlineStr">
        <is>
          <t>Mean</t>
        </is>
      </c>
      <c r="B202" s="49">
        <f>AVERAGE(채취표본!$F$2:$F$21)</f>
        <v/>
      </c>
    </row>
    <row r="203">
      <c r="A203" s="48" t="inlineStr">
        <is>
          <t>σ_within</t>
        </is>
      </c>
      <c r="B203" s="49">
        <f>AVERAGE(Subgroup통계!$C$2:$C$5)/0.94</f>
        <v/>
      </c>
    </row>
    <row r="204">
      <c r="A204" s="48" t="inlineStr">
        <is>
          <t>σ_overall</t>
        </is>
      </c>
      <c r="B204" s="49">
        <f>_xlfn.STDEV.S(채취표본!$F$2:$F$21)</f>
        <v/>
      </c>
    </row>
  </sheetData>
  <mergeCells count="7">
    <mergeCell ref="A13:G13"/>
    <mergeCell ref="A1:G1"/>
    <mergeCell ref="A27:G27"/>
    <mergeCell ref="A4:G4"/>
    <mergeCell ref="A2:G2"/>
    <mergeCell ref="A19:G19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3" t="inlineStr">
        <is>
          <t>SPC 및 공정능력 연구 보고서</t>
        </is>
      </c>
    </row>
    <row r="2">
      <c r="A2" s="50" t="inlineStr">
        <is>
          <t>AIAG / VDA SPC Harmonized Standard — Process Capability Study</t>
        </is>
      </c>
    </row>
    <row r="3">
      <c r="A3" s="51" t="inlineStr">
        <is>
          <t>▣ 자동 판정 요약</t>
        </is>
      </c>
    </row>
    <row r="4" ht="28" customHeight="1">
      <c r="A4" s="4" t="inlineStr">
        <is>
          <t>공정: 안정</t>
        </is>
      </c>
      <c r="D4" s="4" t="inlineStr">
        <is>
          <t>정규성: 정규</t>
        </is>
      </c>
      <c r="G4" s="4" t="inlineStr">
        <is>
          <t>공정능력: 충분</t>
        </is>
      </c>
      <c r="J4" s="4" t="inlineStr">
        <is>
          <t>관리도: 가능</t>
        </is>
      </c>
    </row>
    <row r="5" ht="22" customHeight="1">
      <c r="A5" s="52" t="inlineStr">
        <is>
          <t>우선 조치: 데이터 재수집</t>
        </is>
      </c>
    </row>
    <row r="6"/>
    <row r="7">
      <c r="A7" s="53" t="inlineStr">
        <is>
          <t>1. 공정명</t>
        </is>
      </c>
      <c r="B7" s="54" t="inlineStr">
        <is>
          <t>조립공정</t>
        </is>
      </c>
      <c r="C7" s="55" t="n"/>
      <c r="D7" s="56" t="n"/>
      <c r="F7" s="57" t="inlineStr">
        <is>
          <t>지표</t>
        </is>
      </c>
      <c r="G7" s="57" t="inlineStr">
        <is>
          <t>값</t>
        </is>
      </c>
    </row>
    <row r="8">
      <c r="A8" s="53" t="inlineStr">
        <is>
          <t>2. 설비/라인</t>
        </is>
      </c>
      <c r="B8" s="54" t="inlineStr">
        <is>
          <t>Line-01</t>
        </is>
      </c>
      <c r="C8" s="55" t="n"/>
      <c r="D8" s="56" t="n"/>
      <c r="F8" s="53" t="inlineStr">
        <is>
          <t>USL</t>
        </is>
      </c>
      <c r="G8" s="54" t="inlineStr">
        <is>
          <t>10.5</t>
        </is>
      </c>
    </row>
    <row r="9">
      <c r="A9" s="53" t="inlineStr">
        <is>
          <t>3. 품목</t>
        </is>
      </c>
      <c r="B9" s="54" t="inlineStr">
        <is>
          <t>PART-A001</t>
        </is>
      </c>
      <c r="C9" s="55" t="n"/>
      <c r="D9" s="56" t="n"/>
      <c r="F9" s="53" t="inlineStr">
        <is>
          <t>LSL</t>
        </is>
      </c>
      <c r="G9" s="54" t="inlineStr">
        <is>
          <t>9.5</t>
        </is>
      </c>
    </row>
    <row r="10">
      <c r="A10" s="53" t="inlineStr">
        <is>
          <t>데이터 출처</t>
        </is>
      </c>
      <c r="B10" s="54" t="inlineStr">
        <is>
          <t>mes_data.xlsx, qms_data.xlsx</t>
        </is>
      </c>
      <c r="C10" s="55" t="n"/>
      <c r="D10" s="56" t="n"/>
      <c r="F10" s="53" t="inlineStr">
        <is>
          <t>Mean</t>
        </is>
      </c>
      <c r="G10" s="54" t="inlineStr">
        <is>
          <t>10.032450</t>
        </is>
      </c>
    </row>
    <row r="11">
      <c r="A11" s="53" t="inlineStr">
        <is>
          <t>4. 특성(검사항목)</t>
        </is>
      </c>
      <c r="B11" s="54" t="inlineStr">
        <is>
          <t>외경</t>
        </is>
      </c>
      <c r="C11" s="55" t="n"/>
      <c r="D11" s="56" t="n"/>
      <c r="F11" s="53" t="inlineStr">
        <is>
          <t>Std(within)</t>
        </is>
      </c>
      <c r="G11" s="54" t="inlineStr">
        <is>
          <t>0.076298</t>
        </is>
      </c>
    </row>
    <row r="12">
      <c r="A12" s="53" t="inlineStr">
        <is>
          <t>5. USL</t>
        </is>
      </c>
      <c r="B12" s="54" t="inlineStr">
        <is>
          <t>10.5</t>
        </is>
      </c>
      <c r="C12" s="55" t="n"/>
      <c r="D12" s="56" t="n"/>
      <c r="F12" s="53" t="inlineStr">
        <is>
          <t>Std(overall)</t>
        </is>
      </c>
      <c r="G12" s="54" t="inlineStr">
        <is>
          <t>0.075532</t>
        </is>
      </c>
    </row>
    <row r="13">
      <c r="A13" s="53" t="inlineStr">
        <is>
          <t>6. LSL</t>
        </is>
      </c>
      <c r="B13" s="54" t="inlineStr">
        <is>
          <t>9.5</t>
        </is>
      </c>
      <c r="C13" s="55" t="n"/>
      <c r="D13" s="56" t="n"/>
      <c r="F13" s="53" t="inlineStr">
        <is>
          <t>Cp</t>
        </is>
      </c>
      <c r="G13" s="54" t="inlineStr">
        <is>
          <t>2.1844</t>
        </is>
      </c>
    </row>
    <row r="14">
      <c r="A14" s="53" t="inlineStr">
        <is>
          <t>7. 표본수</t>
        </is>
      </c>
      <c r="B14" s="54" t="inlineStr">
        <is>
          <t>20</t>
        </is>
      </c>
      <c r="C14" s="55" t="n"/>
      <c r="D14" s="56" t="n"/>
      <c r="F14" s="53" t="inlineStr">
        <is>
          <t>Cpk</t>
        </is>
      </c>
      <c r="G14" s="54" t="inlineStr">
        <is>
          <t>2.0426</t>
        </is>
      </c>
    </row>
    <row r="15">
      <c r="A15" s="53" t="inlineStr">
        <is>
          <t>8. Subgroup 크기</t>
        </is>
      </c>
      <c r="B15" s="54" t="inlineStr">
        <is>
          <t>5</t>
        </is>
      </c>
      <c r="C15" s="55" t="n"/>
      <c r="D15" s="56" t="n"/>
      <c r="F15" s="53" t="inlineStr">
        <is>
          <t>Pp</t>
        </is>
      </c>
      <c r="G15" s="54" t="inlineStr">
        <is>
          <t>2.2066</t>
        </is>
      </c>
    </row>
    <row r="16">
      <c r="A16" s="53" t="inlineStr">
        <is>
          <t>9. 관리도 유형</t>
        </is>
      </c>
      <c r="B16" s="54" t="inlineStr">
        <is>
          <t>X-bar S</t>
        </is>
      </c>
      <c r="C16" s="55" t="n"/>
      <c r="D16" s="56" t="n"/>
      <c r="F16" s="53" t="inlineStr">
        <is>
          <t>Ppk</t>
        </is>
      </c>
      <c r="G16" s="54" t="inlineStr">
        <is>
          <t>2.0634</t>
        </is>
      </c>
    </row>
    <row r="17">
      <c r="A17" s="53" t="inlineStr">
        <is>
          <t>10. 분석일시</t>
        </is>
      </c>
      <c r="B17" s="54" t="inlineStr">
        <is>
          <t>2026-06-09 17:42</t>
        </is>
      </c>
      <c r="C17" s="55" t="n"/>
      <c r="D17" s="56" t="n"/>
      <c r="F17" s="53" t="inlineStr">
        <is>
          <t>예상 PPM</t>
        </is>
      </c>
      <c r="G17" s="54" t="inlineStr">
        <is>
          <t>0.00</t>
        </is>
      </c>
    </row>
    <row r="18">
      <c r="A18" s="53" t="inlineStr">
        <is>
          <t>15. 정규성 검정</t>
        </is>
      </c>
      <c r="B18" s="54" t="inlineStr">
        <is>
          <t>Shapiro-Wilk, p=0.8701</t>
        </is>
      </c>
      <c r="C18" s="55" t="n"/>
      <c r="D18" s="56" t="n"/>
      <c r="F18" s="53" t="inlineStr">
        <is>
          <t>P% &gt; USL</t>
        </is>
      </c>
      <c r="G18" s="54" t="inlineStr">
        <is>
          <t>0.0000%</t>
        </is>
      </c>
    </row>
    <row r="19">
      <c r="A19" s="53" t="inlineStr">
        <is>
          <t>16. 정규성 판정</t>
        </is>
      </c>
      <c r="B19" s="54" t="inlineStr">
        <is>
          <t>정규</t>
        </is>
      </c>
      <c r="C19" s="55" t="n"/>
      <c r="D19" s="56" t="n"/>
      <c r="F19" s="53" t="inlineStr">
        <is>
          <t>P% &lt; LSL</t>
        </is>
      </c>
      <c r="G19" s="54" t="inlineStr">
        <is>
          <t>0.0000%</t>
        </is>
      </c>
    </row>
    <row r="20">
      <c r="A20" s="53" t="inlineStr">
        <is>
          <t>17. 관리상태</t>
        </is>
      </c>
      <c r="B20" s="54" t="inlineStr">
        <is>
          <t>관리內</t>
        </is>
      </c>
      <c r="C20" s="55" t="n"/>
      <c r="D20" s="56" t="n"/>
    </row>
    <row r="21">
      <c r="A21" s="53" t="inlineStr">
        <is>
          <t>18. 채취 방식</t>
        </is>
      </c>
      <c r="B21" s="54" t="inlineStr">
        <is>
          <t>일자·LOT·교대 블록 랜덤</t>
        </is>
      </c>
      <c r="C21" s="55" t="n"/>
      <c r="D21" s="56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8" t="inlineStr">
        <is>
          <t>20. Conclusions / Recommendations (차트별 품질 전문가 점검)</t>
        </is>
      </c>
    </row>
    <row r="60">
      <c r="A60" s="58" t="inlineStr">
        <is>
          <t>【종합 판정】
4종 차트(히스토그램·Raw·정규확률도·Xbar-S Control Chart) 통합 검토. 요약 플래그: Cpk 양호. 표본 n=20, 관리도=X-bar S. 아래는 차트별 주의·점검·권고입니다.
■ 11. Histogram (히스토그램)  [OK]
  ※ 점검 항목
    · USL/LSL 대비 분포 폭·위치: 규격 내 집중 vs 양끝·한쪽 쏠림
    · 정규분포 곡선 대비 실제 막대: 꼬리 두께, 다봉(혼합 공정), 절단(측정 한계·반올림)
    · 히스토그램 bin 수에 따른 형상 왜곡 여부(표본수 대비 bin 과다/과소)
    · 평균선·규격한계와 피크 위치 일치 여부(목표값 대비 편향)
■ 12. Raw Value Chart (개별값 시계열)  [주의]
  ※ 주의·해석
    · 순번 대비 하락 추세(기울기/σ 정규화≈-0.70) — 공구 마모·온도·원료 등 시간 요인 의심
  ※ 점검 항목
    · 시간·순번 방향 패턴: 상승/하락/주기(사이클)·계단 변화(조건 변경)
    · 단발 스파이크 vs 연속 밴드 이탈(특별원인 vs 공통원인 후보)
    · 측정 시스템·센서·영점 드리프트, 샘플링 누락/중복
    · 관리도 OOC 시점과 Raw 차트 위치 일치 여부
  ※ 권고 조치
    · OOC·급변 순번의 작업조건·LOT·설비 이력과 교차 검증
    · 추세 지속 시 예방보전·공정 파라미터 재튜닝 후 재채취
■ 13. Normal Probability Plot (정규확률도)  [OK]
  ※ 주의·해석
    · Shapiro-Wilk p-value=0.8701 (정규), NPP 적합 R²≈0.977
  ※ 점검 항목
    · S자·곡선: 왜도 / 양 끝 동시 이탈: 첨도·이상치
    · 하단·상단 꼬리만 벗어남: 측정 한계·절단·혼합 집단
    · 이론 직선 대비 체계적 곡률: 변환(로그·Box-Cox) 필요 여부
    · 히스토그램·정규성 검정 결과와 삼각 교차 확인
■ 14. Xbar-S Control Chart  [OK]
  ※ 주의·해석
    · 관리한계 내 — 현 표본·기간 기준 통계적 관리 상태(특별원인 신호 없음)
  ※ 점검 항목
    · Subgroup n=5: 부군 내 연속성·동일 LOT/조건 유지 여부(채취 규칙 준수)
    · Xbar 이탈 + R/S 정상: 평균 이동(위치) / R·S 이탈 + Xbar 정상: 변동 증가 분리 해석
    · Western Electric: 3σ 초과, 2σ 구간 2/3 연속, 7연속 증가·감소, 7연속 한쪽(규칙 1~4) 육안 점검
    · R/S 하한(LCL) 근접: 측정 분해능·반올림·데이터 스택킹 의심
  ※ 권고 조치
    · 현 상태 유지 시에도 정기적 관리도 갱신·관리한계 재계산(공정 변경 시)
■ 종합 우선 조치
  1. 현 데이터 기준 특이 신호 없음 — 정기 모니터링·관리한계 유지
【자동 판정 요약】
  공정상태: 안정
  정규성: 정규
  공정능력: 충분
  관리용 관리도 적용: 가능
  우선 조치: 데이터 재수집
【회사 기준 판정 근거 (Decision Log)】
  · [DATA_MIN_GROUPS] subgroup count=4 &lt; minimum 25 -&gt; interpretation reliability reduced
  · [STAGE_CAPABILITY] stage=mass_production -&gt; CpCpk rule applied (threshold width=1.33, center=1.33)
  · [CAPABILITY_SUFFICIENT] Cpk&gt;=1.33 -&gt; maintain and monitor
【SPC 전문가 해석】
▶ 경영진 요약: 해석용 관리도 기준으로 공정이 통계적 안정 상태로 판단됩니다. 특별원인 신호가 뚜렷하지 않으므로 현 관리한계선을 유지하며 정기 모니터링을 권장합니다. 공정능력 지수가 내부 기준을 충족합니다. 현재 수준을 유지하면서 추이 모니터링과 정기 재평가를 수행하십시오.
▶ 실무 해석: 현재 데이터에서는 특별한 이상 신호가 없습니다. 기존 관리 방식을 유지하며 주기적으로 다시 확인하십시오.
▶ 정규성: 정규성 검정과 QQ plot 해석이 정규 가정과 크게 어긋나지 않습니다. Cp/Cpk·Pp/Ppk 해석에 무리가 없습니다.
▶ 공정능력: 현재 지표는 Cp/Cpk 기준 잠재 공정능력 해석이 중심입니다. 공정능력 지수가 내부 기준을 충족합니다. 현재 수준을 유지하면서 추이 모니터링과 정기 재평가를 수행하십시오. Cp=2.184, Cpk=2.043 (기준 Cp/Cpk≥1.33)
▶ 후속조치: 우선 조치: 데이터 재수집
【AIAG-VDA 확장 점검】
  Pre-control: X-bar 계열 운용 — Pre-control Chart는 보조 수단으로 검토
  기계성능(Cm/Cmk) 필요: 아니오
  Cm/Cmk calculation module not implemented yet.
  Pp/Ppk 기준: Pp/Ppk: 전체 변동(σ_overall, ddof=1) 기반 — 개발/선행 단계 평가에 적합
  Cp/Cpk 기준: Cp/Cpk: 관리도 기반 σ_within 추정 — 양산 단계 잠재 공정능력 평가에 적합
【리포트 완전성】
  상태: 완전</t>
        </is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</sheetData>
  <mergeCells count="25">
    <mergeCell ref="B11:D11"/>
    <mergeCell ref="B14:D14"/>
    <mergeCell ref="B8:D8"/>
    <mergeCell ref="B17:D17"/>
    <mergeCell ref="B13:D13"/>
    <mergeCell ref="J4:L4"/>
    <mergeCell ref="A3:L3"/>
    <mergeCell ref="B10:D10"/>
    <mergeCell ref="A2:L2"/>
    <mergeCell ref="B19:D19"/>
    <mergeCell ref="D4:F4"/>
    <mergeCell ref="A5:L5"/>
    <mergeCell ref="B9:D9"/>
    <mergeCell ref="G4:I4"/>
    <mergeCell ref="B15:D15"/>
    <mergeCell ref="A4:C4"/>
    <mergeCell ref="B20:D20"/>
    <mergeCell ref="B7:D7"/>
    <mergeCell ref="B16:D16"/>
    <mergeCell ref="A59:L59"/>
    <mergeCell ref="A60:L91"/>
    <mergeCell ref="A1:L1"/>
    <mergeCell ref="B18:D18"/>
    <mergeCell ref="B21:D21"/>
    <mergeCell ref="B12:D1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검정방법</t>
        </is>
      </c>
      <c r="B1" s="59" t="inlineStr">
        <is>
          <t>통계량</t>
        </is>
      </c>
      <c r="C1" s="59" t="inlineStr">
        <is>
          <t>p_value</t>
        </is>
      </c>
      <c r="D1" s="59" t="inlineStr">
        <is>
          <t>정규성_판정</t>
        </is>
      </c>
      <c r="E1" s="59" t="inlineStr">
        <is>
          <t>유의수준</t>
        </is>
      </c>
      <c r="F1" s="59" t="inlineStr">
        <is>
          <t>표본수</t>
        </is>
      </c>
    </row>
    <row r="2">
      <c r="A2" t="inlineStr">
        <is>
          <t>Shapiro-Wilk</t>
        </is>
      </c>
      <c r="B2" t="n">
        <v>0.97585</v>
      </c>
      <c r="C2" t="n">
        <v>0.8701449999999999</v>
      </c>
      <c r="D2" t="inlineStr">
        <is>
          <t>정규</t>
        </is>
      </c>
      <c r="E2" t="n">
        <v>0.05</v>
      </c>
      <c r="F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차트</t>
        </is>
      </c>
      <c r="B1" s="59" t="inlineStr">
        <is>
          <t>항목</t>
        </is>
      </c>
      <c r="C1" s="59" t="inlineStr">
        <is>
          <t>값</t>
        </is>
      </c>
    </row>
    <row r="2">
      <c r="A2" t="inlineStr">
        <is>
          <t>Xbar</t>
        </is>
      </c>
      <c r="B2" t="inlineStr">
        <is>
          <t>CL</t>
        </is>
      </c>
      <c r="C2" t="n">
        <v>10.03245</v>
      </c>
    </row>
    <row r="3">
      <c r="A3" t="inlineStr">
        <is>
          <t>Xbar</t>
        </is>
      </c>
      <c r="B3" t="inlineStr">
        <is>
          <t>UCL</t>
        </is>
      </c>
      <c r="C3" t="n">
        <v>10.13479470297884</v>
      </c>
    </row>
    <row r="4">
      <c r="A4" t="inlineStr">
        <is>
          <t>Xbar</t>
        </is>
      </c>
      <c r="B4" t="inlineStr">
        <is>
          <t>LCL</t>
        </is>
      </c>
      <c r="C4" t="n">
        <v>9.930105297021163</v>
      </c>
    </row>
    <row r="5">
      <c r="A5" t="inlineStr">
        <is>
          <t>S</t>
        </is>
      </c>
      <c r="B5" t="inlineStr">
        <is>
          <t>CL</t>
        </is>
      </c>
      <c r="C5" t="n">
        <v>0.0717201842879035</v>
      </c>
    </row>
    <row r="6">
      <c r="A6" t="inlineStr">
        <is>
          <t>S</t>
        </is>
      </c>
      <c r="B6" t="inlineStr">
        <is>
          <t>UCL</t>
        </is>
      </c>
      <c r="C6" t="n">
        <v>0.1498234649774304</v>
      </c>
    </row>
    <row r="7">
      <c r="A7" t="inlineStr">
        <is>
          <t>S</t>
        </is>
      </c>
      <c r="B7" t="inlineStr">
        <is>
          <t>LCL</t>
        </is>
      </c>
      <c r="C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USL</t>
        </is>
      </c>
      <c r="B1" s="59" t="inlineStr">
        <is>
          <t>LSL</t>
        </is>
      </c>
      <c r="C1" s="59" t="inlineStr">
        <is>
          <t>평균(Xbar)</t>
        </is>
      </c>
      <c r="D1" s="59" t="inlineStr">
        <is>
          <t>σ_within</t>
        </is>
      </c>
      <c r="E1" s="59" t="inlineStr">
        <is>
          <t>σ_overall</t>
        </is>
      </c>
      <c r="F1" s="59" t="inlineStr">
        <is>
          <t>Cp</t>
        </is>
      </c>
      <c r="G1" s="59" t="inlineStr">
        <is>
          <t>Cpk</t>
        </is>
      </c>
      <c r="H1" s="59" t="inlineStr">
        <is>
          <t>Pp</t>
        </is>
      </c>
      <c r="I1" s="59" t="inlineStr">
        <is>
          <t>Ppk</t>
        </is>
      </c>
      <c r="J1" s="59" t="inlineStr">
        <is>
          <t>Cpu</t>
        </is>
      </c>
      <c r="K1" s="59" t="inlineStr">
        <is>
          <t>Cpl</t>
        </is>
      </c>
      <c r="L1" s="59" t="inlineStr">
        <is>
          <t>예상PPM</t>
        </is>
      </c>
    </row>
    <row r="2">
      <c r="A2" t="n">
        <v>10.5</v>
      </c>
      <c r="B2" t="n">
        <v>9.5</v>
      </c>
      <c r="C2" t="n">
        <v>10.03245</v>
      </c>
      <c r="D2" t="n">
        <v>0.076298</v>
      </c>
      <c r="E2" t="n">
        <v>0.075532</v>
      </c>
      <c r="F2" t="n">
        <v>2.1844</v>
      </c>
      <c r="G2" t="n">
        <v>2.0426</v>
      </c>
      <c r="H2" t="n">
        <v>2.2066</v>
      </c>
      <c r="I2" t="n">
        <v>2.0634</v>
      </c>
      <c r="J2" t="n">
        <v>2.0426</v>
      </c>
      <c r="K2" t="n">
        <v>2.3262</v>
      </c>
      <c r="L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subgroup</t>
        </is>
      </c>
      <c r="B1" s="59" t="inlineStr">
        <is>
          <t>Xbar</t>
        </is>
      </c>
      <c r="C1" s="59" t="inlineStr">
        <is>
          <t>S</t>
        </is>
      </c>
    </row>
    <row r="2">
      <c r="A2" t="n">
        <v>1</v>
      </c>
      <c r="B2" t="n">
        <v>10.087</v>
      </c>
      <c r="C2" t="n">
        <v>0.06608732858876942</v>
      </c>
    </row>
    <row r="3">
      <c r="A3" t="n">
        <v>2</v>
      </c>
      <c r="B3" t="n">
        <v>9.996600000000001</v>
      </c>
      <c r="C3" t="n">
        <v>0.06418274690288626</v>
      </c>
    </row>
    <row r="4">
      <c r="A4" t="n">
        <v>3</v>
      </c>
      <c r="B4" t="n">
        <v>10.0078</v>
      </c>
      <c r="C4" t="n">
        <v>0.0678543661086006</v>
      </c>
    </row>
    <row r="5">
      <c r="A5" t="n">
        <v>4</v>
      </c>
      <c r="B5" t="n">
        <v>10.0384</v>
      </c>
      <c r="C5" t="n">
        <v>0.08875629555135772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timestamp</t>
        </is>
      </c>
      <c r="B1" s="59" t="inlineStr">
        <is>
          <t>process</t>
        </is>
      </c>
      <c r="C1" s="59" t="inlineStr">
        <is>
          <t>item</t>
        </is>
      </c>
      <c r="D1" s="59" t="inlineStr">
        <is>
          <t>characteristic</t>
        </is>
      </c>
      <c r="E1" s="59" t="inlineStr">
        <is>
          <t>lot</t>
        </is>
      </c>
      <c r="F1" s="59" t="inlineStr">
        <is>
          <t>value</t>
        </is>
      </c>
      <c r="G1" s="59" t="inlineStr">
        <is>
          <t>usl</t>
        </is>
      </c>
      <c r="H1" s="59" t="inlineStr">
        <is>
          <t>lsl</t>
        </is>
      </c>
      <c r="I1" s="59" t="inlineStr">
        <is>
          <t>target</t>
        </is>
      </c>
      <c r="J1" s="59" t="inlineStr">
        <is>
          <t>source</t>
        </is>
      </c>
      <c r="K1" s="59" t="inlineStr">
        <is>
          <t>subgroup_id</t>
        </is>
      </c>
      <c r="L1" s="59" t="inlineStr">
        <is>
          <t>sampling_block</t>
        </is>
      </c>
      <c r="M1" s="59" t="inlineStr">
        <is>
          <t>sampling_date</t>
        </is>
      </c>
      <c r="N1" s="59" t="inlineStr">
        <is>
          <t>sampling_strategy</t>
        </is>
      </c>
    </row>
    <row r="2">
      <c r="A2" s="60" t="n">
        <v>46143.01180555556</v>
      </c>
      <c r="B2" t="inlineStr">
        <is>
          <t>조립공정</t>
        </is>
      </c>
      <c r="C2" t="inlineStr">
        <is>
          <t>PART-A001</t>
        </is>
      </c>
      <c r="D2" t="inlineStr">
        <is>
          <t>외경</t>
        </is>
      </c>
      <c r="E2" t="inlineStr">
        <is>
          <t>BATCH-001</t>
        </is>
      </c>
      <c r="F2" t="n">
        <v>10.1189</v>
      </c>
      <c r="G2" t="n">
        <v>10.5</v>
      </c>
      <c r="H2" t="n">
        <v>9.5</v>
      </c>
      <c r="I2" t="n">
        <v>10</v>
      </c>
      <c r="J2" t="inlineStr">
        <is>
          <t>qms_data</t>
        </is>
      </c>
      <c r="K2" t="n">
        <v>1</v>
      </c>
      <c r="L2" t="inlineStr">
        <is>
          <t>2026-05-01|야간|LOT=BATCH-001</t>
        </is>
      </c>
      <c r="M2" t="inlineStr">
        <is>
          <t>2026-05-01</t>
        </is>
      </c>
      <c r="N2" t="inlineStr">
        <is>
          <t>date_block</t>
        </is>
      </c>
    </row>
    <row r="3">
      <c r="A3" s="60" t="n">
        <v>46143.02013888889</v>
      </c>
      <c r="B3" t="inlineStr">
        <is>
          <t>조립공정</t>
        </is>
      </c>
      <c r="C3" t="inlineStr">
        <is>
          <t>PART-A001</t>
        </is>
      </c>
      <c r="D3" t="inlineStr">
        <is>
          <t>외경</t>
        </is>
      </c>
      <c r="E3" t="inlineStr">
        <is>
          <t>BATCH-001</t>
        </is>
      </c>
      <c r="F3" t="n">
        <v>10.0961</v>
      </c>
      <c r="G3" t="n">
        <v>10.5</v>
      </c>
      <c r="H3" t="n">
        <v>9.5</v>
      </c>
      <c r="I3" t="n">
        <v>10</v>
      </c>
      <c r="J3" t="inlineStr">
        <is>
          <t>qms_data</t>
        </is>
      </c>
      <c r="K3" t="n">
        <v>1</v>
      </c>
      <c r="L3" t="inlineStr">
        <is>
          <t>2026-05-01|야간|LOT=BATCH-001</t>
        </is>
      </c>
      <c r="M3" t="inlineStr">
        <is>
          <t>2026-05-01</t>
        </is>
      </c>
      <c r="N3" t="inlineStr">
        <is>
          <t>date_block</t>
        </is>
      </c>
    </row>
    <row r="4">
      <c r="A4" s="60" t="n">
        <v>46143.03680555556</v>
      </c>
      <c r="B4" t="inlineStr">
        <is>
          <t>조립공정</t>
        </is>
      </c>
      <c r="C4" t="inlineStr">
        <is>
          <t>PART-A001</t>
        </is>
      </c>
      <c r="D4" t="inlineStr">
        <is>
          <t>외경</t>
        </is>
      </c>
      <c r="E4" t="inlineStr">
        <is>
          <t>BATCH-001</t>
        </is>
      </c>
      <c r="F4" t="n">
        <v>10.1756</v>
      </c>
      <c r="G4" t="n">
        <v>10.5</v>
      </c>
      <c r="H4" t="n">
        <v>9.5</v>
      </c>
      <c r="I4" t="n">
        <v>10</v>
      </c>
      <c r="J4" t="inlineStr">
        <is>
          <t>qms_data</t>
        </is>
      </c>
      <c r="K4" t="n">
        <v>1</v>
      </c>
      <c r="L4" t="inlineStr">
        <is>
          <t>2026-05-01|야간|LOT=BATCH-001</t>
        </is>
      </c>
      <c r="M4" t="inlineStr">
        <is>
          <t>2026-05-01</t>
        </is>
      </c>
      <c r="N4" t="inlineStr">
        <is>
          <t>date_block</t>
        </is>
      </c>
    </row>
    <row r="5">
      <c r="A5" s="60" t="n">
        <v>46143.04513888889</v>
      </c>
      <c r="B5" t="inlineStr">
        <is>
          <t>조립공정</t>
        </is>
      </c>
      <c r="C5" t="inlineStr">
        <is>
          <t>PART-A001</t>
        </is>
      </c>
      <c r="D5" t="inlineStr">
        <is>
          <t>외경</t>
        </is>
      </c>
      <c r="E5" t="inlineStr">
        <is>
          <t>BATCH-001</t>
        </is>
      </c>
      <c r="F5" t="n">
        <v>10.0144</v>
      </c>
      <c r="G5" t="n">
        <v>10.5</v>
      </c>
      <c r="H5" t="n">
        <v>9.5</v>
      </c>
      <c r="I5" t="n">
        <v>10</v>
      </c>
      <c r="J5" t="inlineStr">
        <is>
          <t>qms_data</t>
        </is>
      </c>
      <c r="K5" t="n">
        <v>1</v>
      </c>
      <c r="L5" t="inlineStr">
        <is>
          <t>2026-05-01|야간|LOT=BATCH-001</t>
        </is>
      </c>
      <c r="M5" t="inlineStr">
        <is>
          <t>2026-05-01</t>
        </is>
      </c>
      <c r="N5" t="inlineStr">
        <is>
          <t>date_block</t>
        </is>
      </c>
    </row>
    <row r="6">
      <c r="A6" s="60" t="n">
        <v>46143.05347222222</v>
      </c>
      <c r="B6" t="inlineStr">
        <is>
          <t>조립공정</t>
        </is>
      </c>
      <c r="C6" t="inlineStr">
        <is>
          <t>PART-A001</t>
        </is>
      </c>
      <c r="D6" t="inlineStr">
        <is>
          <t>외경</t>
        </is>
      </c>
      <c r="E6" t="inlineStr">
        <is>
          <t>BATCH-001</t>
        </is>
      </c>
      <c r="F6" t="n">
        <v>10.03</v>
      </c>
      <c r="G6" t="n">
        <v>10.5</v>
      </c>
      <c r="H6" t="n">
        <v>9.5</v>
      </c>
      <c r="I6" t="n">
        <v>10</v>
      </c>
      <c r="J6" t="inlineStr">
        <is>
          <t>qms_data</t>
        </is>
      </c>
      <c r="K6" t="n">
        <v>1</v>
      </c>
      <c r="L6" t="inlineStr">
        <is>
          <t>2026-05-01|야간|LOT=BATCH-001</t>
        </is>
      </c>
      <c r="M6" t="inlineStr">
        <is>
          <t>2026-05-01</t>
        </is>
      </c>
      <c r="N6" t="inlineStr">
        <is>
          <t>date_block</t>
        </is>
      </c>
    </row>
    <row r="7">
      <c r="A7" s="60" t="n">
        <v>46143.27777777778</v>
      </c>
      <c r="B7" t="inlineStr">
        <is>
          <t>조립공정</t>
        </is>
      </c>
      <c r="C7" t="inlineStr">
        <is>
          <t>PART-A001</t>
        </is>
      </c>
      <c r="D7" t="inlineStr">
        <is>
          <t>외경</t>
        </is>
      </c>
      <c r="E7" t="inlineStr">
        <is>
          <t>LOT-005</t>
        </is>
      </c>
      <c r="F7" t="n">
        <v>10.0176</v>
      </c>
      <c r="G7" t="n">
        <v>10.5</v>
      </c>
      <c r="H7" t="n">
        <v>9.5</v>
      </c>
      <c r="I7" t="n">
        <v>10</v>
      </c>
      <c r="J7" t="inlineStr">
        <is>
          <t>mes_data</t>
        </is>
      </c>
      <c r="K7" t="n">
        <v>2</v>
      </c>
      <c r="L7" t="inlineStr">
        <is>
          <t>2026-05-01|야간|LOT=LOT-005</t>
        </is>
      </c>
      <c r="M7" t="inlineStr">
        <is>
          <t>2026-05-01</t>
        </is>
      </c>
      <c r="N7" t="inlineStr">
        <is>
          <t>date_block</t>
        </is>
      </c>
    </row>
    <row r="8">
      <c r="A8" s="60" t="n">
        <v>46143.28472222222</v>
      </c>
      <c r="B8" t="inlineStr">
        <is>
          <t>조립공정</t>
        </is>
      </c>
      <c r="C8" t="inlineStr">
        <is>
          <t>PART-A001</t>
        </is>
      </c>
      <c r="D8" t="inlineStr">
        <is>
          <t>외경</t>
        </is>
      </c>
      <c r="E8" t="inlineStr">
        <is>
          <t>LOT-005</t>
        </is>
      </c>
      <c r="F8" t="n">
        <v>10.0285</v>
      </c>
      <c r="G8" t="n">
        <v>10.5</v>
      </c>
      <c r="H8" t="n">
        <v>9.5</v>
      </c>
      <c r="I8" t="n">
        <v>10</v>
      </c>
      <c r="J8" t="inlineStr">
        <is>
          <t>mes_data</t>
        </is>
      </c>
      <c r="K8" t="n">
        <v>2</v>
      </c>
      <c r="L8" t="inlineStr">
        <is>
          <t>2026-05-01|야간|LOT=LOT-005</t>
        </is>
      </c>
      <c r="M8" t="inlineStr">
        <is>
          <t>2026-05-01</t>
        </is>
      </c>
      <c r="N8" t="inlineStr">
        <is>
          <t>date_block</t>
        </is>
      </c>
    </row>
    <row r="9">
      <c r="A9" s="60" t="n">
        <v>46143.30555555555</v>
      </c>
      <c r="B9" t="inlineStr">
        <is>
          <t>조립공정</t>
        </is>
      </c>
      <c r="C9" t="inlineStr">
        <is>
          <t>PART-A001</t>
        </is>
      </c>
      <c r="D9" t="inlineStr">
        <is>
          <t>외경</t>
        </is>
      </c>
      <c r="E9" t="inlineStr">
        <is>
          <t>LOT-005</t>
        </is>
      </c>
      <c r="F9" t="n">
        <v>9.882300000000001</v>
      </c>
      <c r="G9" t="n">
        <v>10.5</v>
      </c>
      <c r="H9" t="n">
        <v>9.5</v>
      </c>
      <c r="I9" t="n">
        <v>10</v>
      </c>
      <c r="J9" t="inlineStr">
        <is>
          <t>mes_data</t>
        </is>
      </c>
      <c r="K9" t="n">
        <v>2</v>
      </c>
      <c r="L9" t="inlineStr">
        <is>
          <t>2026-05-01|야간|LOT=LOT-005</t>
        </is>
      </c>
      <c r="M9" t="inlineStr">
        <is>
          <t>2026-05-01</t>
        </is>
      </c>
      <c r="N9" t="inlineStr">
        <is>
          <t>date_block</t>
        </is>
      </c>
    </row>
    <row r="10">
      <c r="A10" s="60" t="n">
        <v>46143.31944444445</v>
      </c>
      <c r="B10" t="inlineStr">
        <is>
          <t>조립공정</t>
        </is>
      </c>
      <c r="C10" t="inlineStr">
        <is>
          <t>PART-A001</t>
        </is>
      </c>
      <c r="D10" t="inlineStr">
        <is>
          <t>외경</t>
        </is>
      </c>
      <c r="E10" t="inlineStr">
        <is>
          <t>LOT-005</t>
        </is>
      </c>
      <c r="F10" t="n">
        <v>10.0332</v>
      </c>
      <c r="G10" t="n">
        <v>10.5</v>
      </c>
      <c r="H10" t="n">
        <v>9.5</v>
      </c>
      <c r="I10" t="n">
        <v>10</v>
      </c>
      <c r="J10" t="inlineStr">
        <is>
          <t>mes_data</t>
        </is>
      </c>
      <c r="K10" t="n">
        <v>2</v>
      </c>
      <c r="L10" t="inlineStr">
        <is>
          <t>2026-05-01|야간|LOT=LOT-005</t>
        </is>
      </c>
      <c r="M10" t="inlineStr">
        <is>
          <t>2026-05-01</t>
        </is>
      </c>
      <c r="N10" t="inlineStr">
        <is>
          <t>date_block</t>
        </is>
      </c>
    </row>
    <row r="11">
      <c r="A11" s="60" t="n">
        <v>46143.32638888889</v>
      </c>
      <c r="B11" t="inlineStr">
        <is>
          <t>조립공정</t>
        </is>
      </c>
      <c r="C11" t="inlineStr">
        <is>
          <t>PART-A001</t>
        </is>
      </c>
      <c r="D11" t="inlineStr">
        <is>
          <t>외경</t>
        </is>
      </c>
      <c r="E11" t="inlineStr">
        <is>
          <t>LOT-005</t>
        </is>
      </c>
      <c r="F11" t="n">
        <v>10.0214</v>
      </c>
      <c r="G11" t="n">
        <v>10.5</v>
      </c>
      <c r="H11" t="n">
        <v>9.5</v>
      </c>
      <c r="I11" t="n">
        <v>10</v>
      </c>
      <c r="J11" t="inlineStr">
        <is>
          <t>mes_data</t>
        </is>
      </c>
      <c r="K11" t="n">
        <v>2</v>
      </c>
      <c r="L11" t="inlineStr">
        <is>
          <t>2026-05-01|야간|LOT=LOT-005</t>
        </is>
      </c>
      <c r="M11" t="inlineStr">
        <is>
          <t>2026-05-01</t>
        </is>
      </c>
      <c r="N11" t="inlineStr">
        <is>
          <t>date_block</t>
        </is>
      </c>
    </row>
    <row r="12">
      <c r="A12" s="60" t="n">
        <v>46143.74513888889</v>
      </c>
      <c r="B12" t="inlineStr">
        <is>
          <t>조립공정</t>
        </is>
      </c>
      <c r="C12" t="inlineStr">
        <is>
          <t>PART-A001</t>
        </is>
      </c>
      <c r="D12" t="inlineStr">
        <is>
          <t>외경</t>
        </is>
      </c>
      <c r="E12" t="inlineStr">
        <is>
          <t>BATCH-012</t>
        </is>
      </c>
      <c r="F12" t="n">
        <v>9.9176</v>
      </c>
      <c r="G12" t="n">
        <v>10.5</v>
      </c>
      <c r="H12" t="n">
        <v>9.5</v>
      </c>
      <c r="I12" t="n">
        <v>10</v>
      </c>
      <c r="J12" t="inlineStr">
        <is>
          <t>qms_data</t>
        </is>
      </c>
      <c r="K12" t="n">
        <v>3</v>
      </c>
      <c r="L12" t="inlineStr">
        <is>
          <t>2026-05-01|주간|LOT=BATCH-012</t>
        </is>
      </c>
      <c r="M12" t="inlineStr">
        <is>
          <t>2026-05-01</t>
        </is>
      </c>
      <c r="N12" t="inlineStr">
        <is>
          <t>date_block</t>
        </is>
      </c>
    </row>
    <row r="13">
      <c r="A13" s="60" t="n">
        <v>46143.75347222222</v>
      </c>
      <c r="B13" t="inlineStr">
        <is>
          <t>조립공정</t>
        </is>
      </c>
      <c r="C13" t="inlineStr">
        <is>
          <t>PART-A001</t>
        </is>
      </c>
      <c r="D13" t="inlineStr">
        <is>
          <t>외경</t>
        </is>
      </c>
      <c r="E13" t="inlineStr">
        <is>
          <t>BATCH-012</t>
        </is>
      </c>
      <c r="F13" t="n">
        <v>9.9779</v>
      </c>
      <c r="G13" t="n">
        <v>10.5</v>
      </c>
      <c r="H13" t="n">
        <v>9.5</v>
      </c>
      <c r="I13" t="n">
        <v>10</v>
      </c>
      <c r="J13" t="inlineStr">
        <is>
          <t>qms_data</t>
        </is>
      </c>
      <c r="K13" t="n">
        <v>3</v>
      </c>
      <c r="L13" t="inlineStr">
        <is>
          <t>2026-05-01|주간|LOT=BATCH-012</t>
        </is>
      </c>
      <c r="M13" t="inlineStr">
        <is>
          <t>2026-05-01</t>
        </is>
      </c>
      <c r="N13" t="inlineStr">
        <is>
          <t>date_block</t>
        </is>
      </c>
    </row>
    <row r="14">
      <c r="A14" s="60" t="n">
        <v>46143.76180555556</v>
      </c>
      <c r="B14" t="inlineStr">
        <is>
          <t>조립공정</t>
        </is>
      </c>
      <c r="C14" t="inlineStr">
        <is>
          <t>PART-A001</t>
        </is>
      </c>
      <c r="D14" t="inlineStr">
        <is>
          <t>외경</t>
        </is>
      </c>
      <c r="E14" t="inlineStr">
        <is>
          <t>BATCH-012</t>
        </is>
      </c>
      <c r="F14" t="n">
        <v>10.0944</v>
      </c>
      <c r="G14" t="n">
        <v>10.5</v>
      </c>
      <c r="H14" t="n">
        <v>9.5</v>
      </c>
      <c r="I14" t="n">
        <v>10</v>
      </c>
      <c r="J14" t="inlineStr">
        <is>
          <t>qms_data</t>
        </is>
      </c>
      <c r="K14" t="n">
        <v>3</v>
      </c>
      <c r="L14" t="inlineStr">
        <is>
          <t>2026-05-01|주간|LOT=BATCH-012</t>
        </is>
      </c>
      <c r="M14" t="inlineStr">
        <is>
          <t>2026-05-01</t>
        </is>
      </c>
      <c r="N14" t="inlineStr">
        <is>
          <t>date_block</t>
        </is>
      </c>
    </row>
    <row r="15">
      <c r="A15" s="60" t="n">
        <v>46143.77013888889</v>
      </c>
      <c r="B15" t="inlineStr">
        <is>
          <t>조립공정</t>
        </is>
      </c>
      <c r="C15" t="inlineStr">
        <is>
          <t>PART-A001</t>
        </is>
      </c>
      <c r="D15" t="inlineStr">
        <is>
          <t>외경</t>
        </is>
      </c>
      <c r="E15" t="inlineStr">
        <is>
          <t>BATCH-012</t>
        </is>
      </c>
      <c r="F15" t="n">
        <v>10.0503</v>
      </c>
      <c r="G15" t="n">
        <v>10.5</v>
      </c>
      <c r="H15" t="n">
        <v>9.5</v>
      </c>
      <c r="I15" t="n">
        <v>10</v>
      </c>
      <c r="J15" t="inlineStr">
        <is>
          <t>qms_data</t>
        </is>
      </c>
      <c r="K15" t="n">
        <v>3</v>
      </c>
      <c r="L15" t="inlineStr">
        <is>
          <t>2026-05-01|주간|LOT=BATCH-012</t>
        </is>
      </c>
      <c r="M15" t="inlineStr">
        <is>
          <t>2026-05-01</t>
        </is>
      </c>
      <c r="N15" t="inlineStr">
        <is>
          <t>date_block</t>
        </is>
      </c>
    </row>
    <row r="16">
      <c r="A16" s="60" t="n">
        <v>46143.77847222222</v>
      </c>
      <c r="B16" t="inlineStr">
        <is>
          <t>조립공정</t>
        </is>
      </c>
      <c r="C16" t="inlineStr">
        <is>
          <t>PART-A001</t>
        </is>
      </c>
      <c r="D16" t="inlineStr">
        <is>
          <t>외경</t>
        </is>
      </c>
      <c r="E16" t="inlineStr">
        <is>
          <t>BATCH-012</t>
        </is>
      </c>
      <c r="F16" t="n">
        <v>9.998799999999999</v>
      </c>
      <c r="G16" t="n">
        <v>10.5</v>
      </c>
      <c r="H16" t="n">
        <v>9.5</v>
      </c>
      <c r="I16" t="n">
        <v>10</v>
      </c>
      <c r="J16" t="inlineStr">
        <is>
          <t>qms_data</t>
        </is>
      </c>
      <c r="K16" t="n">
        <v>3</v>
      </c>
      <c r="L16" t="inlineStr">
        <is>
          <t>2026-05-01|주간|LOT=BATCH-012</t>
        </is>
      </c>
      <c r="M16" t="inlineStr">
        <is>
          <t>2026-05-01</t>
        </is>
      </c>
      <c r="N16" t="inlineStr">
        <is>
          <t>date_block</t>
        </is>
      </c>
    </row>
    <row r="17">
      <c r="A17" s="60" t="n">
        <v>46143.5625</v>
      </c>
      <c r="B17" t="inlineStr">
        <is>
          <t>조립공정</t>
        </is>
      </c>
      <c r="C17" t="inlineStr">
        <is>
          <t>PART-A001</t>
        </is>
      </c>
      <c r="D17" t="inlineStr">
        <is>
          <t>외경</t>
        </is>
      </c>
      <c r="E17" t="inlineStr">
        <is>
          <t>LOT-009</t>
        </is>
      </c>
      <c r="F17" t="n">
        <v>10.0899</v>
      </c>
      <c r="G17" t="n">
        <v>10.5</v>
      </c>
      <c r="H17" t="n">
        <v>9.5</v>
      </c>
      <c r="I17" t="n">
        <v>10</v>
      </c>
      <c r="J17" t="inlineStr">
        <is>
          <t>mes_data</t>
        </is>
      </c>
      <c r="K17" t="n">
        <v>4</v>
      </c>
      <c r="L17" t="inlineStr">
        <is>
          <t>2026-05-01|주간|LOT=LOT-009</t>
        </is>
      </c>
      <c r="M17" t="inlineStr">
        <is>
          <t>2026-05-01</t>
        </is>
      </c>
      <c r="N17" t="inlineStr">
        <is>
          <t>date_block</t>
        </is>
      </c>
    </row>
    <row r="18">
      <c r="A18" s="60" t="n">
        <v>46143.57638888889</v>
      </c>
      <c r="B18" t="inlineStr">
        <is>
          <t>조립공정</t>
        </is>
      </c>
      <c r="C18" t="inlineStr">
        <is>
          <t>PART-A001</t>
        </is>
      </c>
      <c r="D18" t="inlineStr">
        <is>
          <t>외경</t>
        </is>
      </c>
      <c r="E18" t="inlineStr">
        <is>
          <t>LOT-009</t>
        </is>
      </c>
      <c r="F18" t="n">
        <v>9.9123</v>
      </c>
      <c r="G18" t="n">
        <v>10.5</v>
      </c>
      <c r="H18" t="n">
        <v>9.5</v>
      </c>
      <c r="I18" t="n">
        <v>10</v>
      </c>
      <c r="J18" t="inlineStr">
        <is>
          <t>mes_data</t>
        </is>
      </c>
      <c r="K18" t="n">
        <v>4</v>
      </c>
      <c r="L18" t="inlineStr">
        <is>
          <t>2026-05-01|주간|LOT=LOT-009</t>
        </is>
      </c>
      <c r="M18" t="inlineStr">
        <is>
          <t>2026-05-01</t>
        </is>
      </c>
      <c r="N18" t="inlineStr">
        <is>
          <t>date_block</t>
        </is>
      </c>
    </row>
    <row r="19">
      <c r="A19" s="60" t="n">
        <v>46143.59027777778</v>
      </c>
      <c r="B19" t="inlineStr">
        <is>
          <t>조립공정</t>
        </is>
      </c>
      <c r="C19" t="inlineStr">
        <is>
          <t>PART-A001</t>
        </is>
      </c>
      <c r="D19" t="inlineStr">
        <is>
          <t>외경</t>
        </is>
      </c>
      <c r="E19" t="inlineStr">
        <is>
          <t>LOT-009</t>
        </is>
      </c>
      <c r="F19" t="n">
        <v>10.1383</v>
      </c>
      <c r="G19" t="n">
        <v>10.5</v>
      </c>
      <c r="H19" t="n">
        <v>9.5</v>
      </c>
      <c r="I19" t="n">
        <v>10</v>
      </c>
      <c r="J19" t="inlineStr">
        <is>
          <t>mes_data</t>
        </is>
      </c>
      <c r="K19" t="n">
        <v>4</v>
      </c>
      <c r="L19" t="inlineStr">
        <is>
          <t>2026-05-01|주간|LOT=LOT-009</t>
        </is>
      </c>
      <c r="M19" t="inlineStr">
        <is>
          <t>2026-05-01</t>
        </is>
      </c>
      <c r="N19" t="inlineStr">
        <is>
          <t>date_block</t>
        </is>
      </c>
    </row>
    <row r="20">
      <c r="A20" s="60" t="n">
        <v>46143.59722222222</v>
      </c>
      <c r="B20" t="inlineStr">
        <is>
          <t>조립공정</t>
        </is>
      </c>
      <c r="C20" t="inlineStr">
        <is>
          <t>PART-A001</t>
        </is>
      </c>
      <c r="D20" t="inlineStr">
        <is>
          <t>외경</t>
        </is>
      </c>
      <c r="E20" t="inlineStr">
        <is>
          <t>LOT-009</t>
        </is>
      </c>
      <c r="F20" t="n">
        <v>10.0622</v>
      </c>
      <c r="G20" t="n">
        <v>10.5</v>
      </c>
      <c r="H20" t="n">
        <v>9.5</v>
      </c>
      <c r="I20" t="n">
        <v>10</v>
      </c>
      <c r="J20" t="inlineStr">
        <is>
          <t>mes_data</t>
        </is>
      </c>
      <c r="K20" t="n">
        <v>4</v>
      </c>
      <c r="L20" t="inlineStr">
        <is>
          <t>2026-05-01|주간|LOT=LOT-009</t>
        </is>
      </c>
      <c r="M20" t="inlineStr">
        <is>
          <t>2026-05-01</t>
        </is>
      </c>
      <c r="N20" t="inlineStr">
        <is>
          <t>date_block</t>
        </is>
      </c>
    </row>
    <row r="21">
      <c r="A21" s="60" t="n">
        <v>46143.60416666666</v>
      </c>
      <c r="B21" t="inlineStr">
        <is>
          <t>조립공정</t>
        </is>
      </c>
      <c r="C21" t="inlineStr">
        <is>
          <t>PART-A001</t>
        </is>
      </c>
      <c r="D21" t="inlineStr">
        <is>
          <t>외경</t>
        </is>
      </c>
      <c r="E21" t="inlineStr">
        <is>
          <t>LOT-009</t>
        </is>
      </c>
      <c r="F21" t="n">
        <v>9.9893</v>
      </c>
      <c r="G21" t="n">
        <v>10.5</v>
      </c>
      <c r="H21" t="n">
        <v>9.5</v>
      </c>
      <c r="I21" t="n">
        <v>10</v>
      </c>
      <c r="J21" t="inlineStr">
        <is>
          <t>mes_data</t>
        </is>
      </c>
      <c r="K21" t="n">
        <v>4</v>
      </c>
      <c r="L21" t="inlineStr">
        <is>
          <t>2026-05-01|주간|LOT=LOT-009</t>
        </is>
      </c>
      <c r="M21" t="inlineStr">
        <is>
          <t>2026-05-01</t>
        </is>
      </c>
      <c r="N21" t="inlineStr">
        <is>
          <t>date_block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70" customWidth="1" min="3" max="3"/>
    <col width="10" customWidth="1" min="4" max="4"/>
  </cols>
  <sheetData>
    <row r="1">
      <c r="A1" s="13" t="inlineStr">
        <is>
          <t>우선순위</t>
        </is>
      </c>
      <c r="B1" s="13" t="inlineStr">
        <is>
          <t>규칙 ID</t>
        </is>
      </c>
      <c r="C1" s="13" t="inlineStr">
        <is>
          <t>판정 내용</t>
        </is>
      </c>
    </row>
    <row r="2">
      <c r="A2" s="61" t="n">
        <v>10</v>
      </c>
      <c r="B2" s="14" t="inlineStr">
        <is>
          <t>DATA_MIN_GROUPS</t>
        </is>
      </c>
      <c r="C2" s="21" t="inlineStr">
        <is>
          <t>subgroup count=4 &lt; minimum 25 -&gt; interpretation reliability reduced</t>
        </is>
      </c>
    </row>
    <row r="3">
      <c r="A3" s="62" t="n">
        <v>30</v>
      </c>
      <c r="B3" s="17" t="inlineStr">
        <is>
          <t>STAGE_CAPABILITY</t>
        </is>
      </c>
      <c r="C3" s="63" t="inlineStr">
        <is>
          <t>stage=mass_production -&gt; CpCpk rule applied (threshold width=1.33, center=1.33)</t>
        </is>
      </c>
    </row>
    <row r="4">
      <c r="A4" s="61" t="n">
        <v>40</v>
      </c>
      <c r="B4" s="14" t="inlineStr">
        <is>
          <t>CAPABILITY_SUFFICIENT</t>
        </is>
      </c>
      <c r="C4" s="21" t="inlineStr">
        <is>
          <t>Cpk&gt;=1.33 -&gt; maintain and monitor</t>
        </is>
      </c>
    </row>
  </sheetData>
  <mergeCells count="4">
    <mergeCell ref="C4:D4"/>
    <mergeCell ref="C1:D1"/>
    <mergeCell ref="C3:D3"/>
    <mergeCell ref="C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3" t="inlineStr">
        <is>
          <t>항목</t>
        </is>
      </c>
      <c r="B1" s="13" t="inlineStr">
        <is>
          <t>판정 결과</t>
        </is>
      </c>
    </row>
    <row r="2">
      <c r="A2" s="11" t="inlineStr">
        <is>
          <t>공정상태</t>
        </is>
      </c>
      <c r="B2" s="64" t="inlineStr">
        <is>
          <t>안정</t>
        </is>
      </c>
    </row>
    <row r="3">
      <c r="A3" s="11" t="inlineStr">
        <is>
          <t>정규성</t>
        </is>
      </c>
      <c r="B3" s="64" t="inlineStr">
        <is>
          <t>정규</t>
        </is>
      </c>
    </row>
    <row r="4">
      <c r="A4" s="11" t="inlineStr">
        <is>
          <t>공정능력</t>
        </is>
      </c>
      <c r="B4" s="64" t="inlineStr">
        <is>
          <t>충분</t>
        </is>
      </c>
    </row>
    <row r="5">
      <c r="A5" s="11" t="inlineStr">
        <is>
          <t>관리도 적용</t>
        </is>
      </c>
      <c r="B5" s="64" t="inlineStr">
        <is>
          <t>가능</t>
        </is>
      </c>
    </row>
    <row r="6">
      <c r="A6" s="11" t="inlineStr">
        <is>
          <t>우선 조치</t>
        </is>
      </c>
      <c r="B6" s="65" t="inlineStr">
        <is>
          <t>데이터 재수집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9" t="inlineStr">
        <is>
          <t>■ 경영진 요약</t>
        </is>
      </c>
    </row>
    <row r="2" ht="48" customHeight="1">
      <c r="A2" s="20" t="inlineStr">
        <is>
          <t>해석용 관리도 기준으로 공정이 통계적 안정 상태로 판단됩니다. 특별원인 신호가 뚜렷하지 않으므로 현 관리한계선을 유지하며 정기 모니터링을 권장합니다. 공정능력 지수가 내부 기준을 충족합니다. 현재 수준을 유지하면서 추이 모니터링과 정기 재평가를 수행하십시오.</t>
        </is>
      </c>
    </row>
    <row r="3"/>
    <row r="4">
      <c r="A4" s="19" t="inlineStr">
        <is>
          <t>■ 관리도 해석</t>
        </is>
      </c>
    </row>
    <row r="5" ht="36" customHeight="1">
      <c r="A5" s="20" t="inlineStr">
        <is>
          <t>관리한계 내에서 운영되고 있으며, 해석용 관리도 기준 안정 상태입니다.</t>
        </is>
      </c>
    </row>
    <row r="6"/>
    <row r="7">
      <c r="A7" s="19" t="inlineStr">
        <is>
          <t>■ 정규성 해석</t>
        </is>
      </c>
    </row>
    <row r="8" ht="36" customHeight="1">
      <c r="A8" s="20" t="inlineStr">
        <is>
          <t>정규성 검정과 QQ plot 해석이 정규 가정과 크게 어긋나지 않습니다. Cp/Cpk·Pp/Ppk 해석에 무리가 없습니다.</t>
        </is>
      </c>
    </row>
    <row r="9"/>
    <row r="10">
      <c r="A10" s="19" t="inlineStr">
        <is>
          <t>■ 공정능력 해석</t>
        </is>
      </c>
    </row>
    <row r="11" ht="48" customHeight="1">
      <c r="A11" s="20" t="inlineStr">
        <is>
          <t>현재 지표는 Cp/Cpk 기준 잠재 공정능력 해석이 중심입니다. 공정능력 지수가 내부 기준을 충족합니다. 현재 수준을 유지하면서 추이 모니터링과 정기 재평가를 수행하십시오. Cp=2.184, Cpk=2.043 (기준 Cp/Cpk≥1.33)</t>
        </is>
      </c>
    </row>
    <row r="12"/>
    <row r="13">
      <c r="A13" s="19" t="inlineStr">
        <is>
          <t>■ 후속조치 가이드</t>
        </is>
      </c>
    </row>
    <row r="14" ht="36" customHeight="1">
      <c r="A14" s="20" t="inlineStr">
        <is>
          <t>우선 조치: 데이터 재수집</t>
        </is>
      </c>
    </row>
    <row r="15"/>
    <row r="16">
      <c r="A16" s="19" t="inlineStr">
        <is>
          <t>■ 현장 실무자 해석</t>
        </is>
      </c>
    </row>
    <row r="17" ht="36" customHeight="1">
      <c r="A17" s="20" t="inlineStr">
        <is>
          <t>현재 데이터에서는 특별한 이상 신호가 없습니다. 기존 관리 방식을 유지하며 주기적으로 다시 확인하십시오.</t>
        </is>
      </c>
    </row>
  </sheetData>
  <mergeCells count="12">
    <mergeCell ref="A4:B4"/>
    <mergeCell ref="A2:B2"/>
    <mergeCell ref="A16:B16"/>
    <mergeCell ref="A7:B7"/>
    <mergeCell ref="A11:B11"/>
    <mergeCell ref="A10:B10"/>
    <mergeCell ref="A5:B5"/>
    <mergeCell ref="A13:B13"/>
    <mergeCell ref="A14:B14"/>
    <mergeCell ref="A1:B1"/>
    <mergeCell ref="A17:B17"/>
    <mergeCell ref="A8:B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3" t="inlineStr">
        <is>
          <t>점검 항목</t>
        </is>
      </c>
      <c r="B1" s="13" t="inlineStr">
        <is>
          <t>결과</t>
        </is>
      </c>
    </row>
    <row r="2">
      <c r="A2" s="11" t="inlineStr">
        <is>
          <t>Pre-control 권고</t>
        </is>
      </c>
      <c r="B2" s="21" t="inlineStr">
        <is>
          <t>X-bar 계열 운용 — Pre-control Chart는 보조 수단으로 검토</t>
        </is>
      </c>
    </row>
    <row r="3">
      <c r="A3" s="11" t="inlineStr">
        <is>
          <t>기계성능 필요</t>
        </is>
      </c>
      <c r="B3" s="21" t="inlineStr">
        <is>
          <t>아니오</t>
        </is>
      </c>
    </row>
    <row r="4">
      <c r="A4" s="11" t="inlineStr">
        <is>
          <t>Cm/Cmk 모듈</t>
        </is>
      </c>
      <c r="B4" s="21" t="inlineStr">
        <is>
          <t>Cm/Cmk calculation module not implemented yet.</t>
        </is>
      </c>
    </row>
    <row r="5">
      <c r="A5" s="11" t="inlineStr">
        <is>
          <t>리포트 완전성</t>
        </is>
      </c>
      <c r="B5" s="22" t="inlineStr">
        <is>
          <t>✓ 완전</t>
        </is>
      </c>
    </row>
    <row r="6">
      <c r="A6" s="11" t="inlineStr">
        <is>
          <t>누락 항목</t>
        </is>
      </c>
      <c r="B6" s="21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2026-06-09T08:42:55Z</dcterms:created>
  <dcterms:modified xmlns:dcterms="http://purl.org/dc/terms/" xmlns:xsi="http://www.w3.org/2001/XMLSchema-instance" xsi:type="dcterms:W3CDTF">2026-06-09T08:42:55Z</dcterms:modified>
</cp:coreProperties>
</file>