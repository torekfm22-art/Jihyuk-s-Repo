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대시보드" sheetId="1" state="visible" r:id="rId1"/>
    <sheet xmlns:r="http://schemas.openxmlformats.org/officeDocument/2006/relationships" name="용어_초보가이드" sheetId="2" state="visible" r:id="rId2"/>
    <sheet xmlns:r="http://schemas.openxmlformats.org/officeDocument/2006/relationships" name="검증_수식연계" sheetId="3" state="visible" r:id="rId3"/>
    <sheet xmlns:r="http://schemas.openxmlformats.org/officeDocument/2006/relationships" name="종합" sheetId="4" state="visible" r:id="rId4"/>
    <sheet xmlns:r="http://schemas.openxmlformats.org/officeDocument/2006/relationships" name="정규성검정" sheetId="5" state="visible" r:id="rId5"/>
    <sheet xmlns:r="http://schemas.openxmlformats.org/officeDocument/2006/relationships" name="관리한계" sheetId="6" state="visible" r:id="rId6"/>
    <sheet xmlns:r="http://schemas.openxmlformats.org/officeDocument/2006/relationships" name="공정능력" sheetId="7" state="visible" r:id="rId7"/>
    <sheet xmlns:r="http://schemas.openxmlformats.org/officeDocument/2006/relationships" name="Subgroup통계" sheetId="8" state="visible" r:id="rId8"/>
    <sheet xmlns:r="http://schemas.openxmlformats.org/officeDocument/2006/relationships" name="채취표본" sheetId="9" state="visible" r:id="rId9"/>
    <sheet xmlns:r="http://schemas.openxmlformats.org/officeDocument/2006/relationships" name="판정로그" sheetId="10" state="visible" r:id="rId10"/>
    <sheet xmlns:r="http://schemas.openxmlformats.org/officeDocument/2006/relationships" name="판정요약" sheetId="11" state="visible" r:id="rId11"/>
    <sheet xmlns:r="http://schemas.openxmlformats.org/officeDocument/2006/relationships" name="전문가해석" sheetId="12" state="visible" r:id="rId12"/>
    <sheet xmlns:r="http://schemas.openxmlformats.org/officeDocument/2006/relationships" name="AIAG_VDA점검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23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1F4E79"/>
      <sz val="11"/>
    </font>
    <font>
      <b val="1"/>
      <color rgb="009C0006"/>
      <sz val="14"/>
    </font>
    <font>
      <b val="1"/>
      <sz val="10"/>
    </font>
    <font>
      <b val="1"/>
      <sz val="9"/>
    </font>
    <font>
      <sz val="9"/>
    </font>
    <font>
      <b val="1"/>
      <color rgb="00FFFFFF"/>
      <sz val="10"/>
    </font>
    <font>
      <sz val="8"/>
    </font>
    <font>
      <b val="1"/>
      <color rgb="001F4E79"/>
      <sz val="16"/>
    </font>
    <font>
      <color rgb="00555555"/>
      <sz val="9"/>
    </font>
    <font>
      <b val="1"/>
      <color rgb="00555555"/>
      <sz val="10"/>
    </font>
    <font>
      <sz val="10"/>
    </font>
    <font>
      <b val="1"/>
      <color rgb="00FFFFFF"/>
      <sz val="11"/>
    </font>
    <font>
      <color rgb="00444444"/>
      <sz val="9"/>
    </font>
    <font>
      <b val="1"/>
      <color rgb="00375623"/>
      <sz val="11"/>
    </font>
    <font>
      <b val="1"/>
      <color rgb="001F4E79"/>
      <sz val="10"/>
    </font>
    <font>
      <b val="1"/>
      <color rgb="00833C0C"/>
      <sz val="11"/>
    </font>
    <font>
      <i val="1"/>
      <color rgb="00666666"/>
      <sz val="8"/>
    </font>
    <font>
      <name val="Consolas"/>
      <color rgb="00000000"/>
      <sz val="9"/>
    </font>
    <font>
      <b val="1"/>
      <color rgb="001F4E79"/>
      <sz val="12"/>
    </font>
    <font>
      <i val="1"/>
      <sz val="9"/>
    </font>
  </fonts>
  <fills count="13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E8EEF4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EB9C"/>
      </patternFill>
    </fill>
    <fill>
      <patternFill patternType="solid">
        <fgColor rgb="00F5F8F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0" fillId="0" borderId="1" applyAlignment="1" pivotButton="0" quotePrefix="0" xfId="0">
      <alignment horizontal="center"/>
    </xf>
    <xf numFmtId="0" fontId="13" fillId="0" borderId="1" pivotButton="0" quotePrefix="0" xfId="0"/>
    <xf numFmtId="0" fontId="5" fillId="2" borderId="1" pivotButton="0" quotePrefix="0" xfId="0"/>
    <xf numFmtId="0" fontId="5" fillId="6" borderId="1" pivotButton="0" quotePrefix="0" xfId="0"/>
    <xf numFmtId="0" fontId="5" fillId="0" borderId="1" pivotButton="0" quotePrefix="0" xfId="0"/>
    <xf numFmtId="0" fontId="13" fillId="3" borderId="1" applyAlignment="1" pivotButton="0" quotePrefix="0" xfId="0">
      <alignment wrapText="1"/>
    </xf>
    <xf numFmtId="0" fontId="14" fillId="4" borderId="1" pivotButton="0" quotePrefix="0" xfId="0"/>
    <xf numFmtId="0" fontId="6" fillId="0" borderId="1" pivotButton="0" quotePrefix="0" xfId="0"/>
    <xf numFmtId="0" fontId="13" fillId="0" borderId="1" applyAlignment="1" pivotButton="0" quotePrefix="0" xfId="0">
      <alignment vertical="top" wrapText="1"/>
    </xf>
    <xf numFmtId="0" fontId="13" fillId="7" borderId="1" pivotButton="0" quotePrefix="0" xfId="0"/>
    <xf numFmtId="0" fontId="6" fillId="7" borderId="1" pivotButton="0" quotePrefix="0" xfId="0"/>
    <xf numFmtId="0" fontId="13" fillId="7" borderId="1" applyAlignment="1" pivotButton="0" quotePrefix="0" xfId="0">
      <alignment vertical="top" wrapText="1"/>
    </xf>
    <xf numFmtId="0" fontId="3" fillId="3" borderId="0" pivotButton="0" quotePrefix="0" xfId="0"/>
    <xf numFmtId="0" fontId="13" fillId="0" borderId="0" applyAlignment="1" pivotButton="0" quotePrefix="0" xfId="0">
      <alignment vertical="top" wrapText="1"/>
    </xf>
    <xf numFmtId="0" fontId="13" fillId="0" borderId="1" applyAlignment="1" pivotButton="0" quotePrefix="0" xfId="0">
      <alignment wrapText="1"/>
    </xf>
    <xf numFmtId="0" fontId="13" fillId="8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top" wrapText="1"/>
    </xf>
    <xf numFmtId="0" fontId="16" fillId="9" borderId="0" applyAlignment="1" pivotButton="0" quotePrefix="0" xfId="0">
      <alignment vertical="center"/>
    </xf>
    <xf numFmtId="0" fontId="8" fillId="4" borderId="7" applyAlignment="1" pivotButton="0" quotePrefix="0" xfId="0">
      <alignment horizontal="center" wrapText="1"/>
    </xf>
    <xf numFmtId="0" fontId="17" fillId="0" borderId="7" pivotButton="0" quotePrefix="0" xfId="0"/>
    <xf numFmtId="0" fontId="7" fillId="0" borderId="7" applyAlignment="1" pivotButton="0" quotePrefix="0" xfId="0">
      <alignment vertical="top" wrapText="1"/>
    </xf>
    <xf numFmtId="0" fontId="18" fillId="10" borderId="0" pivotButton="0" quotePrefix="0" xfId="0"/>
    <xf numFmtId="0" fontId="19" fillId="0" borderId="0" applyAlignment="1" pivotButton="0" quotePrefix="0" xfId="0">
      <alignment wrapText="1"/>
    </xf>
    <xf numFmtId="0" fontId="17" fillId="0" borderId="0" pivotButton="0" quotePrefix="0" xfId="0"/>
    <xf numFmtId="0" fontId="8" fillId="4" borderId="7" pivotButton="0" quotePrefix="0" xfId="0"/>
    <xf numFmtId="0" fontId="20" fillId="11" borderId="7" applyAlignment="1" pivotButton="0" quotePrefix="0" xfId="0">
      <alignment vertical="top" wrapText="1"/>
    </xf>
    <xf numFmtId="0" fontId="16" fillId="0" borderId="0" pivotButton="0" quotePrefix="0" xfId="0"/>
    <xf numFmtId="0" fontId="0" fillId="0" borderId="7" pivotButton="0" quotePrefix="0" xfId="0"/>
    <xf numFmtId="0" fontId="6" fillId="0" borderId="7" pivotButton="0" quotePrefix="0" xfId="0"/>
    <xf numFmtId="0" fontId="0" fillId="0" borderId="7" applyAlignment="1" pivotButton="0" quotePrefix="0" xfId="0">
      <alignment wrapText="1"/>
    </xf>
    <xf numFmtId="0" fontId="5" fillId="12" borderId="0" pivotButton="0" quotePrefix="0" xfId="0"/>
    <xf numFmtId="0" fontId="7" fillId="0" borderId="0" applyAlignment="1" pivotButton="0" quotePrefix="0" xfId="0">
      <alignment wrapText="1"/>
    </xf>
    <xf numFmtId="0" fontId="21" fillId="0" borderId="0" pivotButton="0" quotePrefix="0" xfId="0"/>
    <xf numFmtId="0" fontId="0" fillId="0" borderId="0" applyAlignment="1" pivotButton="0" quotePrefix="0" xfId="0">
      <alignment wrapText="1"/>
    </xf>
    <xf numFmtId="0" fontId="17" fillId="5" borderId="0" pivotButton="0" quotePrefix="0" xfId="0"/>
    <xf numFmtId="0" fontId="8" fillId="4" borderId="2" applyAlignment="1" pivotButton="0" quotePrefix="0" xfId="0">
      <alignment horizontal="center" wrapText="1"/>
    </xf>
    <xf numFmtId="0" fontId="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wrapText="1"/>
    </xf>
    <xf numFmtId="0" fontId="22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3" borderId="1" applyAlignment="1" pivotButton="0" quotePrefix="0" xfId="0">
      <alignment horizontal="left" wrapText="1"/>
    </xf>
    <xf numFmtId="0" fontId="6" fillId="0" borderId="2" pivotButton="0" quotePrefix="0" xfId="0"/>
    <xf numFmtId="0" fontId="7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4" borderId="2" pivotButton="0" quotePrefix="0" xfId="0"/>
    <xf numFmtId="0" fontId="9" fillId="0" borderId="0" applyAlignment="1" pivotButton="0" quotePrefix="0" xfId="0">
      <alignment vertical="top" wrapText="1"/>
    </xf>
    <xf numFmtId="0" fontId="8" fillId="4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13" fillId="7" borderId="1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3238500" cy="242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3238500" cy="2428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238500" cy="2428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3238500" cy="2428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</cols>
  <sheetData>
    <row r="1" ht="32" customHeight="1">
      <c r="A1" s="1" t="inlineStr">
        <is>
          <t>SPC 자동 판정 · 해석 대시보드</t>
        </is>
      </c>
    </row>
    <row r="2">
      <c r="A2" s="2" t="inlineStr">
        <is>
          <t>Stator Assys(MV후륜)  |  단계: mass_production</t>
        </is>
      </c>
    </row>
    <row r="3"/>
    <row r="4">
      <c r="A4" s="3" t="inlineStr">
        <is>
          <t>공정상태</t>
        </is>
      </c>
      <c r="B4" s="3" t="inlineStr">
        <is>
          <t>정규성</t>
        </is>
      </c>
      <c r="C4" s="3" t="inlineStr">
        <is>
          <t>공정능력</t>
        </is>
      </c>
      <c r="D4" s="3" t="inlineStr">
        <is>
          <t>관리도 적용</t>
        </is>
      </c>
    </row>
    <row r="5" ht="36" customHeight="1">
      <c r="A5" s="4" t="inlineStr">
        <is>
          <t>판정불가</t>
        </is>
      </c>
      <c r="B5" s="4" t="inlineStr">
        <is>
          <t>비정규</t>
        </is>
      </c>
      <c r="C5" s="4" t="inlineStr">
        <is>
          <t>부족</t>
        </is>
      </c>
      <c r="D5" s="4" t="inlineStr">
        <is>
          <t>불가</t>
        </is>
      </c>
    </row>
    <row r="6"/>
    <row r="7" ht="28" customHeight="1">
      <c r="A7" s="5" t="inlineStr">
        <is>
          <t>▶ 우선 조치: 데이터 재수집</t>
        </is>
      </c>
    </row>
    <row r="8"/>
    <row r="9" ht="22" customHeight="1">
      <c r="A9" s="6" t="inlineStr">
        <is>
          <t>회사 기준 판정 · 후속조치 체크</t>
        </is>
      </c>
    </row>
    <row r="10">
      <c r="A10" s="7" t="inlineStr">
        <is>
          <t>○</t>
        </is>
      </c>
      <c r="B10" s="8" t="inlineStr">
        <is>
          <t>관리용 관리도 적용</t>
        </is>
      </c>
      <c r="C10" s="9" t="inlineStr">
        <is>
          <t>불가</t>
        </is>
      </c>
    </row>
    <row r="11">
      <c r="A11" s="7" t="inlineStr">
        <is>
          <t>●</t>
        </is>
      </c>
      <c r="B11" s="8" t="inlineStr">
        <is>
          <t>데이터 재수집 필요</t>
        </is>
      </c>
      <c r="C11" s="10" t="inlineStr">
        <is>
          <t>필요</t>
        </is>
      </c>
    </row>
    <row r="12">
      <c r="A12" s="7" t="inlineStr">
        <is>
          <t>●</t>
        </is>
      </c>
      <c r="B12" s="8" t="inlineStr">
        <is>
          <t>공정 개선 필요</t>
        </is>
      </c>
      <c r="C12" s="10" t="inlineStr">
        <is>
          <t>필요</t>
        </is>
      </c>
    </row>
    <row r="13">
      <c r="A13" s="7" t="inlineStr">
        <is>
          <t>—</t>
        </is>
      </c>
      <c r="B13" s="8" t="inlineStr">
        <is>
          <t>관리한계 재설정</t>
        </is>
      </c>
      <c r="C13" s="11" t="inlineStr">
        <is>
          <t>해당 없음</t>
        </is>
      </c>
    </row>
    <row r="14">
      <c r="A14" s="7" t="inlineStr">
        <is>
          <t>—</t>
        </is>
      </c>
      <c r="B14" s="8" t="inlineStr">
        <is>
          <t>관리계획서 검토</t>
        </is>
      </c>
      <c r="C14" s="11" t="inlineStr">
        <is>
          <t>해당 없음</t>
        </is>
      </c>
    </row>
    <row r="15">
      <c r="A15" s="7" t="inlineStr">
        <is>
          <t>—</t>
        </is>
      </c>
      <c r="B15" s="8" t="inlineStr">
        <is>
          <t>작업표준 검토</t>
        </is>
      </c>
      <c r="C15" s="11" t="inlineStr">
        <is>
          <t>해당 없음</t>
        </is>
      </c>
    </row>
    <row r="16">
      <c r="A16" s="7" t="inlineStr">
        <is>
          <t>—</t>
        </is>
      </c>
      <c r="B16" s="8" t="inlineStr">
        <is>
          <t>봉쇄 검토</t>
        </is>
      </c>
      <c r="C16" s="11" t="inlineStr">
        <is>
          <t>해당 없음</t>
        </is>
      </c>
    </row>
    <row r="17">
      <c r="A17" s="7" t="inlineStr">
        <is>
          <t>—</t>
        </is>
      </c>
      <c r="B17" s="8" t="inlineStr">
        <is>
          <t>전수검사 검토</t>
        </is>
      </c>
      <c r="C17" s="11" t="inlineStr">
        <is>
          <t>해당 없음</t>
        </is>
      </c>
    </row>
    <row r="18">
      <c r="A18" s="7" t="inlineStr">
        <is>
          <t>—</t>
        </is>
      </c>
      <c r="B18" s="8" t="inlineStr">
        <is>
          <t>고객 예외 검토</t>
        </is>
      </c>
      <c r="C18" s="11" t="inlineStr">
        <is>
          <t>해당 없음</t>
        </is>
      </c>
    </row>
    <row r="19">
      <c r="A19" s="12" t="inlineStr">
        <is>
          <t>권고 조치: 데이터 재수집 → 중심 이동</t>
        </is>
      </c>
    </row>
    <row r="20"/>
    <row r="21" ht="22" customHeight="1">
      <c r="A21" s="6" t="inlineStr">
        <is>
          <t>판정 근거 (Decision Log)</t>
        </is>
      </c>
    </row>
    <row r="22">
      <c r="A22" s="13" t="inlineStr">
        <is>
          <t>우선순위</t>
        </is>
      </c>
      <c r="B22" s="13" t="inlineStr">
        <is>
          <t>규칙 ID</t>
        </is>
      </c>
      <c r="C22" s="13" t="inlineStr">
        <is>
          <t>판정 내용</t>
        </is>
      </c>
    </row>
    <row r="23">
      <c r="A23" s="8" t="n">
        <v>5</v>
      </c>
      <c r="B23" s="14" t="inlineStr">
        <is>
          <t>R_CHART_FIRST</t>
        </is>
      </c>
      <c r="C23" s="15" t="inlineStr">
        <is>
          <t>R chart unstable -&gt; mean chart interpretation deferred</t>
        </is>
      </c>
    </row>
    <row r="24">
      <c r="A24" s="16" t="n">
        <v>6</v>
      </c>
      <c r="B24" s="17" t="inlineStr">
        <is>
          <t>DEPLOY_BLOCKED</t>
        </is>
      </c>
      <c r="C24" s="18" t="inlineStr">
        <is>
          <t>process not in stable state -&gt; operational control chart deployment not allowed</t>
        </is>
      </c>
    </row>
    <row r="25">
      <c r="A25" s="8" t="n">
        <v>14</v>
      </c>
      <c r="B25" s="14" t="inlineStr">
        <is>
          <t>NORMality_STRICT</t>
        </is>
      </c>
      <c r="C25" s="15" t="inlineStr">
        <is>
          <t>strict_company_mode + non-normal -&gt; cause analysis, action, recollection required</t>
        </is>
      </c>
    </row>
    <row r="26">
      <c r="A26" s="16" t="n">
        <v>15</v>
      </c>
      <c r="B26" s="17" t="inlineStr">
        <is>
          <t>CAPABILITY_CENTERING</t>
        </is>
      </c>
      <c r="C26" s="18" t="inlineStr">
        <is>
          <t>Cp&gt;=1.33 and Cpk&lt;1.33 -&gt; centering improvement recommended</t>
        </is>
      </c>
    </row>
    <row r="27">
      <c r="A27" s="8" t="n">
        <v>30</v>
      </c>
      <c r="B27" s="14" t="inlineStr">
        <is>
          <t>STAGE_CAPABILITY</t>
        </is>
      </c>
      <c r="C27" s="15" t="inlineStr">
        <is>
          <t>stage=mass_production -&gt; CpCpk rule applied (threshold width=1.33, center=1.33)</t>
        </is>
      </c>
    </row>
    <row r="28"/>
    <row r="29" ht="22" customHeight="1">
      <c r="A29" s="6" t="inlineStr">
        <is>
          <t>SPC 전문가 해석</t>
        </is>
      </c>
    </row>
    <row r="30">
      <c r="A30" s="19" t="inlineStr">
        <is>
          <t>■ 경영진 요약</t>
        </is>
      </c>
    </row>
    <row r="31" ht="80" customHeight="1">
      <c r="A31" s="20" t="inlineStr">
        <is>
          <t>본 공정은 해석용 관리도 기준으로 안정상태가 확인되지 않았습니다. 특히 산포 관리도에서 이상신호가 확인되어 현재 관리한계선을 기반으로 한 현장 운영은 부적절합니다. 이 경우 평균 위치 해석보다 산포 원인 제거가 우선이며, 공정 안정화 후 재수집 데이터를 기준으로 관리한계선을 다시 설정해야 합니다. 공정 산포(폭)는 기준을 만족하나 중심 지수가 부족합니다. 산포 개선보다 규격 중심 대비 평균 위치 조정(centering)이 우선 과제입니다.</t>
        </is>
      </c>
    </row>
    <row r="32"/>
    <row r="33">
      <c r="A33" s="19" t="inlineStr">
        <is>
          <t>■ 관리도 해석</t>
        </is>
      </c>
    </row>
    <row r="34" ht="48" customHeight="1">
      <c r="A34" s="20" t="inlineStr">
        <is>
          <t>관리도에서 관리한계 이탈, 중심선 편향, 과도한 산포 등 4건의 이상 패턴이 감지되었습니다. R(산포) 관리도 불안정 — 평균 관리도 해석 보류, 산포 원인 제거 우선</t>
        </is>
      </c>
    </row>
    <row r="35"/>
    <row r="36">
      <c r="A36" s="19" t="inlineStr">
        <is>
          <t>■ 정규성 해석</t>
        </is>
      </c>
    </row>
    <row r="37" ht="48" customHeight="1">
      <c r="A37" s="20" t="inlineStr">
        <is>
          <t>데이터가 정규분포 가정에서 벗어났습니다. 단순 p-value 판정에 그치지 말고 원인을 파악하고 조치한 뒤 데이터를 재수집하여 재분석하십시오. (검정: Shapiro-Wilk, p=0.0416, QQ: 정규확률도 직선성 양호(R²≈0.976))</t>
        </is>
      </c>
    </row>
    <row r="38"/>
    <row r="39">
      <c r="A39" s="19" t="inlineStr">
        <is>
          <t>■ 공정능력 해석</t>
        </is>
      </c>
    </row>
    <row r="40" ht="48" customHeight="1">
      <c r="A40" s="20" t="inlineStr">
        <is>
          <t>현재 지표는 Cp/Cpk 기준 잠재 공정능력 해석이 중심입니다. 공정 산포(폭)는 기준을 만족하나 중심 지수가 부족합니다. 산포 개선보다 규격 중심 대비 평균 위치 조정(centering)이 우선 과제입니다. Cp=1.394, Cpk=1.167 (기준 Cp/Cpk≥1.33)</t>
        </is>
      </c>
    </row>
    <row r="41"/>
    <row r="42">
      <c r="A42" s="19" t="inlineStr">
        <is>
          <t>■ 후속조치 가이드</t>
        </is>
      </c>
    </row>
    <row r="43" ht="48" customHeight="1">
      <c r="A43" s="20" t="inlineStr">
        <is>
          <t>우선 조치: 데이터 재수집 → 중심 이동</t>
        </is>
      </c>
    </row>
    <row r="44"/>
    <row r="45">
      <c r="A45" s="19" t="inlineStr">
        <is>
          <t>■ 현장 실무자 해석</t>
        </is>
      </c>
    </row>
    <row r="46" ht="48" customHeight="1">
      <c r="A46" s="20" t="inlineStr">
        <is>
          <t>이번 결과는 평균이 약간 벗어난 문제라기보다 공정 흔들림이 크다는 의미에 가깝습니다. 먼저 설비 상태, 치공구, 자재, 측정 이상 여부를 점검해 산포를 키우는 원인을 줄이는 것이 우선입니다.</t>
        </is>
      </c>
    </row>
    <row r="47"/>
    <row r="48" ht="22" customHeight="1">
      <c r="A48" s="6" t="inlineStr">
        <is>
          <t>AIAG-VDA 확장 점검</t>
        </is>
      </c>
    </row>
    <row r="49">
      <c r="A49" s="14" t="inlineStr">
        <is>
          <t>Pre-control 권고</t>
        </is>
      </c>
      <c r="B49" s="21" t="inlineStr">
        <is>
          <t>X-bar 계열 운용 — Pre-control Chart는 보조 수단으로 검토</t>
        </is>
      </c>
    </row>
    <row r="50">
      <c r="A50" s="14" t="inlineStr">
        <is>
          <t>기계성능(Cm/Cmk) 필요</t>
        </is>
      </c>
      <c r="B50" s="21" t="inlineStr">
        <is>
          <t>아니오</t>
        </is>
      </c>
    </row>
    <row r="51">
      <c r="A51" s="14" t="inlineStr">
        <is>
          <t>기계성능 모듈</t>
        </is>
      </c>
      <c r="B51" s="21" t="inlineStr">
        <is>
          <t>Cm/Cmk calculation module not implemented yet.</t>
        </is>
      </c>
    </row>
    <row r="52">
      <c r="A52" s="14" t="inlineStr">
        <is>
          <t>리포트 완전성</t>
        </is>
      </c>
      <c r="B52" s="22" t="inlineStr">
        <is>
          <t>완전</t>
        </is>
      </c>
    </row>
    <row r="53">
      <c r="A53" s="14" t="inlineStr">
        <is>
          <t>누락 항목</t>
        </is>
      </c>
      <c r="B53" s="21" t="inlineStr">
        <is>
          <t>없음</t>
        </is>
      </c>
    </row>
    <row r="54">
      <c r="A54" s="14" t="inlineStr">
        <is>
          <t>Pp/Ppk 기준</t>
        </is>
      </c>
      <c r="B54" s="21" t="inlineStr">
        <is>
          <t>Pp/Ppk: 전체 변동(σ_overall, ddof=1) 기반 — 개발/선행 단계 평가에 적합</t>
        </is>
      </c>
    </row>
    <row r="55">
      <c r="A55" s="14" t="inlineStr">
        <is>
          <t>Cp/Cpk 기준</t>
        </is>
      </c>
      <c r="B55" s="21" t="inlineStr">
        <is>
          <t>Cp/Cpk: 관리도 기반 σ_within 추정 — 양산 단계 잠재 공정능력 평가에 적합</t>
        </is>
      </c>
    </row>
  </sheetData>
  <mergeCells count="42">
    <mergeCell ref="C16:E16"/>
    <mergeCell ref="A30:E30"/>
    <mergeCell ref="A34:E34"/>
    <mergeCell ref="A39:E39"/>
    <mergeCell ref="A48:E48"/>
    <mergeCell ref="B49:E49"/>
    <mergeCell ref="C22:E22"/>
    <mergeCell ref="A45:E45"/>
    <mergeCell ref="B55:E55"/>
    <mergeCell ref="A36:E36"/>
    <mergeCell ref="B51:E51"/>
    <mergeCell ref="C12:E12"/>
    <mergeCell ref="A2:F2"/>
    <mergeCell ref="C11:E11"/>
    <mergeCell ref="C27:E27"/>
    <mergeCell ref="B50:E50"/>
    <mergeCell ref="C23:E23"/>
    <mergeCell ref="B54:E54"/>
    <mergeCell ref="C17:E17"/>
    <mergeCell ref="A37:E37"/>
    <mergeCell ref="A46:E46"/>
    <mergeCell ref="A21:E21"/>
    <mergeCell ref="A7:F7"/>
    <mergeCell ref="C13:E13"/>
    <mergeCell ref="A42:E42"/>
    <mergeCell ref="B52:E52"/>
    <mergeCell ref="A33:E33"/>
    <mergeCell ref="C18:E18"/>
    <mergeCell ref="C15:E15"/>
    <mergeCell ref="C24:E24"/>
    <mergeCell ref="A29:E29"/>
    <mergeCell ref="C14:E14"/>
    <mergeCell ref="A43:E43"/>
    <mergeCell ref="B53:E53"/>
    <mergeCell ref="A1:F1"/>
    <mergeCell ref="A19:E19"/>
    <mergeCell ref="C26:E26"/>
    <mergeCell ref="A31:E31"/>
    <mergeCell ref="A40:E40"/>
    <mergeCell ref="A9:E9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38" customWidth="1" min="3" max="3"/>
    <col width="24" customWidth="1" min="4" max="4"/>
    <col width="18" customWidth="1" min="5" max="5"/>
  </cols>
  <sheetData>
    <row r="1">
      <c r="A1" s="23" t="inlineStr">
        <is>
          <t>SPC · 공정능력 — 초보자용 용어 설명</t>
        </is>
      </c>
    </row>
    <row r="2">
      <c r="A2" s="24" t="inlineStr">
        <is>
          <t>보고서를 처음 보실 때 이 시트부터 읽으시면 됩니다. §6 산출식은 본 프로그램이 실제로 사용하는 계산식(AIAG/Minitab 기준)입니다. 검증_수식연계 시트에서 Excel로 같은 식을 재현할 수 있습니다.</t>
        </is>
      </c>
    </row>
    <row r="3"/>
    <row r="4">
      <c r="A4" s="25" t="inlineStr">
        <is>
          <t>1. 기본 개념</t>
        </is>
      </c>
    </row>
    <row r="5">
      <c r="A5" s="26" t="inlineStr">
        <is>
          <t>용어</t>
        </is>
      </c>
      <c r="B5" s="26" t="inlineStr">
        <is>
          <t>한 줄로 이해하기</t>
        </is>
      </c>
      <c r="C5" s="26" t="inlineStr">
        <is>
          <t>조금 더 자세히</t>
        </is>
      </c>
      <c r="D5" s="26" t="inlineStr">
        <is>
          <t>보고서에서 보는 곳</t>
        </is>
      </c>
    </row>
    <row r="6">
      <c r="A6" s="27" t="inlineStr">
        <is>
          <t>SPC</t>
        </is>
      </c>
      <c r="B6" s="28" t="inlineStr">
        <is>
          <t>공정이 안정적인지·규격을 지키는지 숫자와 차트로 보는 방법</t>
        </is>
      </c>
      <c r="C6" s="28" t="inlineStr">
        <is>
          <t>Statistical Process Control. 측정값을 시간·LOT별로 모아 관리도와 공정능력으로 판단합니다.</t>
        </is>
      </c>
      <c r="D6" s="28" t="inlineStr">
        <is>
          <t>종합 시트 전체</t>
        </is>
      </c>
    </row>
    <row r="7">
      <c r="A7" s="27" t="inlineStr">
        <is>
          <t>USL / LSL</t>
        </is>
      </c>
      <c r="B7" s="28" t="inlineStr">
        <is>
          <t>규격 상한·하한 (이 범위 안이면 합격)</t>
        </is>
      </c>
      <c r="C7" s="28" t="inlineStr">
        <is>
          <t>Upper/Lower Specification Limit. 도면·검사기준에서 정한 허용 범위입니다.</t>
        </is>
      </c>
      <c r="D7" s="28" t="inlineStr">
        <is>
          <t>종합 5·6항, 공정능력 시트</t>
        </is>
      </c>
    </row>
    <row r="8">
      <c r="A8" s="27" t="inlineStr">
        <is>
          <t>Subgroup (부군)</t>
        </is>
      </c>
      <c r="B8" s="28" t="inlineStr">
        <is>
          <t>관리도용으로 묶은 측정값 한 묶음 (예: 연속 5개)</t>
        </is>
      </c>
      <c r="C8" s="28" t="inlineStr">
        <is>
          <t>같은 조건에서 연속 측정한 n개를 1그룹으로 보고 Xbar, R(또는 S)을 계산합니다.</t>
        </is>
      </c>
      <c r="D8" s="28" t="inlineStr">
        <is>
          <t>Subgroup통계 (Xbar·R)</t>
        </is>
      </c>
    </row>
    <row r="9">
      <c r="A9" s="27" t="inlineStr">
        <is>
          <t>σ (시그마)</t>
        </is>
      </c>
      <c r="B9" s="28" t="inlineStr">
        <is>
          <t>데이터가 얼마나 퍼져 있는지 나타내는 산포</t>
        </is>
      </c>
      <c r="C9" s="28" t="inlineStr">
        <is>
          <t>표준편차. 값이 클수록 측정값이 넓게 퍼져 있습니다.</t>
        </is>
      </c>
      <c r="D9" s="28" t="inlineStr">
        <is>
          <t>공정능력 시트, 검증 시트</t>
        </is>
      </c>
    </row>
    <row r="10"/>
    <row r="11">
      <c r="A11" s="25" t="inlineStr">
        <is>
          <t>2. 공정능력 지표 (Cp · Cpk 등)</t>
        </is>
      </c>
    </row>
    <row r="12">
      <c r="A12" s="26" t="inlineStr">
        <is>
          <t>용어</t>
        </is>
      </c>
      <c r="B12" s="26" t="inlineStr">
        <is>
          <t>한 줄로 이해하기</t>
        </is>
      </c>
      <c r="C12" s="26" t="inlineStr">
        <is>
          <t>조금 더 자세히</t>
        </is>
      </c>
      <c r="D12" s="26" t="inlineStr">
        <is>
          <t>보고서에서 보는 곳</t>
        </is>
      </c>
    </row>
    <row r="13">
      <c r="A13" s="27" t="inlineStr">
        <is>
          <t>Cp</t>
        </is>
      </c>
      <c r="B13" s="28" t="inlineStr">
        <is>
          <t>규격 폭에 비해 산포가 얼마나 좁은지 (공정 폭)</t>
        </is>
      </c>
      <c r="C13" s="28" t="inlineStr">
        <is>
          <t>Cp = (USL−LSL) / (6σ_within). σ_within은 부군 내·부군 간 변동을 반영한 공정 산포입니다. 평균 위치는 보지 않고 「퍼짐」만 봅니다.</t>
        </is>
      </c>
      <c r="D13" s="28" t="inlineStr">
        <is>
          <t>종합 우측 표, 공정능력 시트</t>
        </is>
      </c>
    </row>
    <row r="14">
      <c r="A14" s="27" t="inlineStr">
        <is>
          <t>Cpk</t>
        </is>
      </c>
      <c r="B14" s="28" t="inlineStr">
        <is>
          <t>규격 중심에 얼마나 잘 맞춰져 있는지 (실질 능력)</t>
        </is>
      </c>
      <c r="C14" s="28" t="inlineStr">
        <is>
          <t>Cpk = min(Cpu, Cpl). 평균이 USL·LSL 중 한쪽에 치우치면 Cpk가 Cp보다 작아집니다. 현장에서는 Cpk를 가장 많이 봅니다.</t>
        </is>
      </c>
      <c r="D14" s="28" t="inlineStr">
        <is>
          <t>종합 우측 표, 공정능력 시트</t>
        </is>
      </c>
    </row>
    <row r="15">
      <c r="A15" s="27" t="inlineStr">
        <is>
          <t>Cpu / Cpl</t>
        </is>
      </c>
      <c r="B15" s="28" t="inlineStr">
        <is>
          <t>상한·하한 각각에 대한 여유</t>
        </is>
      </c>
      <c r="C15" s="28" t="inlineStr">
        <is>
          <t>Cpu=(USL−평균)/(3σ_within), Cpl=(평균−LSL)/(3σ_within). Cpk는 둘 중 작은 값입니다.</t>
        </is>
      </c>
      <c r="D15" s="28" t="inlineStr">
        <is>
          <t>공정능력 시트, 검증 시트 §4</t>
        </is>
      </c>
    </row>
    <row r="16">
      <c r="A16" s="27" t="inlineStr">
        <is>
          <t>Pp / Ppk</t>
        </is>
      </c>
      <c r="B16" s="28" t="inlineStr">
        <is>
          <t>전체 데이터 산포로 본 능력 (장기·전체 변동)</t>
        </is>
      </c>
      <c r="C16" s="28" t="inlineStr">
        <is>
          <t>σ_overall(표본 전체 표준편차)을 사용합니다. Ppk가 Cpk보다 작으면 시간이 지나며 산포가 커졌거나 추가 변동이 있다는 신호일 수 있습니다.</t>
        </is>
      </c>
      <c r="D16" s="28" t="inlineStr">
        <is>
          <t>공정능력 시트</t>
        </is>
      </c>
    </row>
    <row r="17">
      <c r="A17" s="27" t="inlineStr">
        <is>
          <t>σ_within / σ_overall</t>
        </is>
      </c>
      <c r="B17" s="28" t="inlineStr">
        <is>
          <t>단기 공정 산포 vs 전체 산포</t>
        </is>
      </c>
      <c r="C17" s="28" t="inlineStr">
        <is>
          <t>σ_within: 관리도(R,S,MR)로 추정한 공정 산포. σ_overall: 모든 측정값의 표준편차.</t>
        </is>
      </c>
      <c r="D17" s="28" t="inlineStr">
        <is>
          <t>검증 시트 §2·§3</t>
        </is>
      </c>
    </row>
    <row r="18">
      <c r="A18" s="27" t="inlineStr">
        <is>
          <t>PPM (예상)</t>
        </is>
      </c>
      <c r="B18" s="28" t="inlineStr">
        <is>
          <t>규격 밖으로 나갈 것으로 예상되는 불량 비율(백만분율)</t>
        </is>
      </c>
      <c r="C18" s="28" t="inlineStr">
        <is>
          <t>정규분포를 가정해 USL·LSL 밖 확률을 추정한 값입니다.</t>
        </is>
      </c>
      <c r="D18" s="28" t="inlineStr">
        <is>
          <t>종합 표, 공정능력 시트</t>
        </is>
      </c>
    </row>
    <row r="19"/>
    <row r="20">
      <c r="A20" s="25" t="inlineStr">
        <is>
          <t>3. 정규성 검정</t>
        </is>
      </c>
    </row>
    <row r="21">
      <c r="A21" s="26" t="inlineStr">
        <is>
          <t>용어</t>
        </is>
      </c>
      <c r="B21" s="26" t="inlineStr">
        <is>
          <t>한 줄로 이해하기</t>
        </is>
      </c>
      <c r="C21" s="26" t="inlineStr">
        <is>
          <t>조금 더 자세히</t>
        </is>
      </c>
      <c r="D21" s="26" t="inlineStr">
        <is>
          <t>보고서에서 보는 곳</t>
        </is>
      </c>
    </row>
    <row r="22">
      <c r="A22" s="27" t="inlineStr">
        <is>
          <t>정규성 검정</t>
        </is>
      </c>
      <c r="B22" s="28" t="inlineStr">
        <is>
          <t>데이터가 「종 모양(정규분포)」에 가까운지 통계적으로 확인</t>
        </is>
      </c>
      <c r="C22" s="28" t="inlineStr">
        <is>
          <t>공정능력·PPM 해석은 정규분포 가정에 기대는 경우가 많아, 먼저 확인하는 단계입니다.</t>
        </is>
      </c>
      <c r="D22" s="28" t="inlineStr">
        <is>
          <t>정규성검정 시트, 종합 15·16항</t>
        </is>
      </c>
    </row>
    <row r="23">
      <c r="A23" s="27" t="inlineStr">
        <is>
          <t>p-value (p값)</t>
        </is>
      </c>
      <c r="B23" s="28" t="inlineStr">
        <is>
          <t>「우연이 아니다」의 정도 — 작을수록 정규분포와 다르다</t>
        </is>
      </c>
      <c r="C23" s="28" t="inlineStr">
        <is>
          <t>p가 작으면(예: 0.05 미만) 정규분포라고 보기 어렵다고 판단합니다. p가 크면(예: 0.05 이상) 정규와 크게 다르지 않다고 「일단」 받아들이는 경우가 많습니다.</t>
        </is>
      </c>
      <c r="D23" s="28" t="inlineStr">
        <is>
          <t>정규성검정 시트 p_value 열</t>
        </is>
      </c>
    </row>
    <row r="24">
      <c r="A24" s="27" t="inlineStr">
        <is>
          <t>유의수준 α (알파)</t>
        </is>
      </c>
      <c r="B24" s="28" t="inlineStr">
        <is>
          <t>p-value와 비교하는 기준선 (보통 0.05 = 5%)</t>
        </is>
      </c>
      <c r="C24" s="28" t="inlineStr">
        <is>
          <t>p-value &lt; α 이면 「정규가 아니다」로 판정하는 일반적 규칙입니다. α=0.05는 「100번 중 5번까지는 우연히 나올 수 있는 차이」를 허용한다는 뜻에 가깝습니다.</t>
        </is>
      </c>
      <c r="D24" s="28" t="inlineStr">
        <is>
          <t>정규성검정 시트 유의수준</t>
        </is>
      </c>
    </row>
    <row r="25">
      <c r="A25" s="27" t="inlineStr">
        <is>
          <t>Shapiro-Wilk</t>
        </is>
      </c>
      <c r="B25" s="28" t="inlineStr">
        <is>
          <t>표본이 정규분포인지 검정하는 대표적인 방법</t>
        </is>
      </c>
      <c r="C25" s="28" t="inlineStr">
        <is>
          <t>본 프로그램은 표본 수에 따라 Shapiro-Wilk 또는 D'Agostino 검정을 사용합니다.</t>
        </is>
      </c>
      <c r="D25" s="28" t="inlineStr">
        <is>
          <t>정규성검정 시트 검정방법</t>
        </is>
      </c>
    </row>
    <row r="26">
      <c r="A26" s="27" t="inlineStr">
        <is>
          <t>정규 / 비정규 판정</t>
        </is>
      </c>
      <c r="B26" s="28" t="inlineStr">
        <is>
          <t>보고서에 표시된 최종 결론</t>
        </is>
      </c>
      <c r="C26" s="28" t="inlineStr">
        <is>
          <t>p-value ≥ α 이면 「정규」, 그렇지 않으면 「비정규」로 표시합니다. 비정규일 때는 변환·다른 분석·원인 조사를 검토할 수 있습니다.</t>
        </is>
      </c>
      <c r="D26" s="28" t="inlineStr">
        <is>
          <t>종합 16항</t>
        </is>
      </c>
    </row>
    <row r="27"/>
    <row r="28">
      <c r="A28" s="25" t="inlineStr">
        <is>
          <t>4. 관리도</t>
        </is>
      </c>
    </row>
    <row r="29">
      <c r="A29" s="26" t="inlineStr">
        <is>
          <t>용어</t>
        </is>
      </c>
      <c r="B29" s="26" t="inlineStr">
        <is>
          <t>한 줄로 이해하기</t>
        </is>
      </c>
      <c r="C29" s="26" t="inlineStr">
        <is>
          <t>조금 더 자세히</t>
        </is>
      </c>
      <c r="D29" s="26" t="inlineStr">
        <is>
          <t>보고서에서 보는 곳</t>
        </is>
      </c>
    </row>
    <row r="30">
      <c r="A30" s="27" t="inlineStr">
        <is>
          <t>관리도</t>
        </is>
      </c>
      <c r="B30" s="28" t="inlineStr">
        <is>
          <t>시간·순서에 따른 측정값이 안정적인지 보는 차트</t>
        </is>
      </c>
      <c r="C30" s="28" t="inlineStr">
        <is>
          <t>평균이 갑자기 튀거나 산포가 커지면 「특별 원인」을 찾도록 돕습니다.</t>
        </is>
      </c>
      <c r="D30" s="28" t="inlineStr">
        <is>
          <t>종합 차트, 관리한계 시트</t>
        </is>
      </c>
    </row>
    <row r="31">
      <c r="A31" s="27" t="inlineStr">
        <is>
          <t>CL / UCL / LCL</t>
        </is>
      </c>
      <c r="B31" s="28" t="inlineStr">
        <is>
          <t>중심선·관리 상한·관리 하한</t>
        </is>
      </c>
      <c r="C31" s="28" t="inlineStr">
        <is>
          <t>CL(Center Line): 평균 수준. UCL/LCL: 통계적으로 기대되는 변동 범위 밖이면 이상 신호로 봅니다.</t>
        </is>
      </c>
      <c r="D31" s="28" t="inlineStr">
        <is>
          <t>관리한계 시트, 종합 관리도 차트</t>
        </is>
      </c>
    </row>
    <row r="32">
      <c r="A32" s="27" t="inlineStr">
        <is>
          <t>X-bar (X̄) 차트</t>
        </is>
      </c>
      <c r="B32" s="28" t="inlineStr">
        <is>
          <t>부군별 평균이 안정적인지 확인</t>
        </is>
      </c>
      <c r="C32" s="28" t="inlineStr">
        <is>
          <t>공정 평균이 서서히 변하거나 갑자기 변했는지 봅니다.</t>
        </is>
      </c>
      <c r="D32" s="28" t="inlineStr">
        <is>
          <t>Subgroup통계 (Xbar·R), 종합 차트</t>
        </is>
      </c>
    </row>
    <row r="33">
      <c r="A33" s="27" t="inlineStr">
        <is>
          <t>R / S 차트</t>
        </is>
      </c>
      <c r="B33" s="28" t="inlineStr">
        <is>
          <t>부군 내 산포(범위·표준편차)가 안정적인지 확인</t>
        </is>
      </c>
      <c r="C33" s="28" t="inlineStr">
        <is>
          <t>R=최대−최소, S=표준편차. 산포가 커지면 공정이 불안정해졌을 수 있습니다.</t>
        </is>
      </c>
      <c r="D33" s="28" t="inlineStr">
        <is>
          <t>Subgroup통계, 관리한계</t>
        </is>
      </c>
    </row>
    <row r="34">
      <c r="A34" s="27" t="inlineStr">
        <is>
          <t>I-MR 차트</t>
        </is>
      </c>
      <c r="B34" s="28" t="inlineStr">
        <is>
          <t>개별 측정값·이동범위 차트 (부군 없을 때)</t>
        </is>
      </c>
      <c r="C34" s="28" t="inlineStr">
        <is>
          <t>한 점씩 측정할 때 사용. I=개별값, MR=연속 두 점 차이의 절대값.</t>
        </is>
      </c>
      <c r="D34" s="28" t="inlineStr">
        <is>
          <t>Individual통계, 관리한계</t>
        </is>
      </c>
    </row>
    <row r="35">
      <c r="A35" s="27" t="inlineStr">
        <is>
          <t>관리內 / 관리外</t>
        </is>
      </c>
      <c r="B35" s="28" t="inlineStr">
        <is>
          <t>관리도 점이 한계 안/밖인지 요약</t>
        </is>
      </c>
      <c r="C35" s="28" t="inlineStr">
        <is>
          <t>관리外: UCL 또는 LCL 밖에 점이 있음 → 원인 조사·조치 검토.</t>
        </is>
      </c>
      <c r="D35" s="28" t="inlineStr">
        <is>
          <t>종합 17항</t>
        </is>
      </c>
    </row>
    <row r="36"/>
    <row r="37">
      <c r="A37" s="25" t="inlineStr">
        <is>
          <t>5. 채취·데이터</t>
        </is>
      </c>
    </row>
    <row r="38">
      <c r="A38" s="26" t="inlineStr">
        <is>
          <t>용어</t>
        </is>
      </c>
      <c r="B38" s="26" t="inlineStr">
        <is>
          <t>한 줄로 이해하기</t>
        </is>
      </c>
      <c r="C38" s="26" t="inlineStr">
        <is>
          <t>조금 더 자세히</t>
        </is>
      </c>
      <c r="D38" s="26" t="inlineStr">
        <is>
          <t>보고서에서 보는 곳</t>
        </is>
      </c>
    </row>
    <row r="39">
      <c r="A39" s="27" t="inlineStr">
        <is>
          <t>채취표본</t>
        </is>
      </c>
      <c r="B39" s="28" t="inlineStr">
        <is>
          <t>이번 분석에 실제로 사용한 측정 데이터</t>
        </is>
      </c>
      <c r="C39" s="28" t="inlineStr">
        <is>
          <t>MES/QMS에서 필터·샘플링한 결과입니다. LOT·일자·교대 정보가 있을 수 있습니다.</t>
        </is>
      </c>
      <c r="D39" s="28" t="inlineStr">
        <is>
          <t>채취표본 시트</t>
        </is>
      </c>
    </row>
    <row r="40">
      <c r="A40" s="27" t="inlineStr">
        <is>
          <t>일자 랜덤 채취</t>
        </is>
      </c>
      <c r="B40" s="28" t="inlineStr">
        <is>
          <t>날짜별로 골고루 뽑아 편향을 줄이는 방식</t>
        </is>
      </c>
      <c r="C40" s="28" t="inlineStr">
        <is>
          <t>특정 하루 데이터만 몰리지 않도록 설계된 샘플링입니다.</t>
        </is>
      </c>
      <c r="D40" s="28" t="inlineStr">
        <is>
          <t>채취표본, 종합 메타</t>
        </is>
      </c>
    </row>
    <row r="41">
      <c r="A41" s="27" t="inlineStr">
        <is>
          <t>검증_수식연계</t>
        </is>
      </c>
      <c r="B41" s="28" t="inlineStr">
        <is>
          <t>프로그램 결과와 Excel 수식이 같은지 확인하는 시트</t>
        </is>
      </c>
      <c r="C41" s="28" t="inlineStr">
        <is>
          <t>OK/NG로 일치 여부를 표시합니다. 수식 셀을 누르면 어떤 데이터를 참조하는지 볼 수 있습니다.</t>
        </is>
      </c>
      <c r="D41" s="28" t="inlineStr">
        <is>
          <t>검증_수식연계 시트</t>
        </is>
      </c>
    </row>
    <row r="42"/>
    <row r="43">
      <c r="A43" s="29" t="inlineStr">
        <is>
          <t>6. 주요 산출값 산출식 (본 프로그램 적용)</t>
        </is>
      </c>
    </row>
    <row r="44">
      <c r="A44" s="30" t="inlineStr">
        <is>
          <t>기호: X̄=평균, σ=표준편차, n=부군 크기, N=총 측정 개수, USL/LSL=규격 상·하한. 상수 A2,A3,d2,c4 등은 부군 크기 n에 따라 AIAG 표에서 자동 적용됩니다.</t>
        </is>
      </c>
    </row>
    <row r="45"/>
    <row r="46">
      <c r="A46" s="31" t="inlineStr">
        <is>
          <t>6-1. 기초 통계 (모든 분석)</t>
        </is>
      </c>
    </row>
    <row r="47">
      <c r="A47" s="32" t="inlineStr">
        <is>
          <t>산출값</t>
        </is>
      </c>
      <c r="B47" s="32" t="inlineStr">
        <is>
          <t>산출식</t>
        </is>
      </c>
      <c r="C47" s="32" t="inlineStr">
        <is>
          <t>변수·기호 설명</t>
        </is>
      </c>
      <c r="D47" s="32" t="inlineStr">
        <is>
          <t>데이터 출처</t>
        </is>
      </c>
      <c r="E47" s="32" t="inlineStr">
        <is>
          <t>검증 시트</t>
        </is>
      </c>
    </row>
    <row r="48">
      <c r="A48" s="27" t="inlineStr">
        <is>
          <t>평균 (Mean, X̄)</t>
        </is>
      </c>
      <c r="B48" s="33" t="inlineStr">
        <is>
          <t>X̄ = (1/N) × Σ xi</t>
        </is>
      </c>
      <c r="C48" s="28" t="inlineStr">
        <is>
          <t>xi = 각 측정값, N = 표본 개수</t>
        </is>
      </c>
      <c r="D48" s="28" t="inlineStr">
        <is>
          <t>채취표본 value 열</t>
        </is>
      </c>
      <c r="E48" s="28" t="inlineStr">
        <is>
          <t>검증 §2 AVERAGE</t>
        </is>
      </c>
    </row>
    <row r="49">
      <c r="A49" s="27" t="inlineStr">
        <is>
          <t>σ_overall</t>
        </is>
      </c>
      <c r="B49" s="33" t="inlineStr">
        <is>
          <t>σ_overall = STDEV.S(xi)  [표본 표준편차, n-1]</t>
        </is>
      </c>
      <c r="C49" s="28" t="inlineStr">
        <is>
          <t>전체 측정값의 산포</t>
        </is>
      </c>
      <c r="D49" s="28" t="inlineStr">
        <is>
          <t>채취표본 value 열</t>
        </is>
      </c>
      <c r="E49" s="28" t="inlineStr">
        <is>
          <t>검증 §2 STDEV.S</t>
        </is>
      </c>
    </row>
    <row r="50"/>
    <row r="51">
      <c r="A51" s="31" t="inlineStr">
        <is>
          <t>6-1b. X-bar R 관리도 (n=5)</t>
        </is>
      </c>
    </row>
    <row r="52">
      <c r="A52" s="32" t="inlineStr">
        <is>
          <t>산출값</t>
        </is>
      </c>
      <c r="B52" s="32" t="inlineStr">
        <is>
          <t>산출식</t>
        </is>
      </c>
      <c r="C52" s="32" t="inlineStr">
        <is>
          <t>변수·기호 설명</t>
        </is>
      </c>
      <c r="D52" s="32" t="inlineStr">
        <is>
          <t>데이터 출처</t>
        </is>
      </c>
      <c r="E52" s="32" t="inlineStr">
        <is>
          <t>검증 시트</t>
        </is>
      </c>
    </row>
    <row r="53">
      <c r="A53" s="27" t="inlineStr">
        <is>
          <t>부군 평균 X̄i</t>
        </is>
      </c>
      <c r="B53" s="33" t="inlineStr">
        <is>
          <t>X̄i = (1/n) × Σ xij  (j=1..n, i=부군번호)</t>
        </is>
      </c>
      <c r="C53" s="28" t="inlineStr">
        <is>
          <t>xij = i번째 부군의 j번째 측정값</t>
        </is>
      </c>
      <c r="D53" s="28" t="inlineStr">
        <is>
          <t>원시 데이터 → Subgroup통계</t>
        </is>
      </c>
      <c r="E53" s="28" t="inlineStr">
        <is>
          <t>Subgroup통계 Xbar</t>
        </is>
      </c>
    </row>
    <row r="54">
      <c r="A54" s="27" t="inlineStr">
        <is>
          <t>부군 범위 Ri</t>
        </is>
      </c>
      <c r="B54" s="33" t="inlineStr">
        <is>
          <t>Ri = max(xij) − min(xij)</t>
        </is>
      </c>
      <c r="C54" s="28" t="inlineStr">
        <is>
          <t>부군 내 산포</t>
        </is>
      </c>
      <c r="D54" s="28" t="inlineStr">
        <is>
          <t>동일</t>
        </is>
      </c>
      <c r="E54" s="28" t="inlineStr">
        <is>
          <t>Subgroup통계 R</t>
        </is>
      </c>
    </row>
    <row r="55">
      <c r="A55" s="27" t="inlineStr">
        <is>
          <t>X̿ (Xbar-bar)</t>
        </is>
      </c>
      <c r="B55" s="33" t="inlineStr">
        <is>
          <t>X̿ = (1/k) × Σ X̄i  (k=부군 개수)</t>
        </is>
      </c>
      <c r="C55" s="28" t="inlineStr">
        <is>
          <t>관리도 중심</t>
        </is>
      </c>
      <c r="D55" s="28" t="inlineStr">
        <is>
          <t>Subgroup통계</t>
        </is>
      </c>
      <c r="E55" s="28" t="inlineStr">
        <is>
          <t>검증 §3</t>
        </is>
      </c>
    </row>
    <row r="56">
      <c r="A56" s="27" t="inlineStr">
        <is>
          <t>R̄ (R-bar)</t>
        </is>
      </c>
      <c r="B56" s="33" t="inlineStr">
        <is>
          <t>R̄ = (1/k) × Σ Ri</t>
        </is>
      </c>
      <c r="C56" s="28" t="inlineStr">
        <is>
          <t>평균 범위</t>
        </is>
      </c>
      <c r="D56" s="28" t="inlineStr">
        <is>
          <t>Subgroup통계 R</t>
        </is>
      </c>
      <c r="E56" s="28" t="inlineStr">
        <is>
          <t>검증 §3</t>
        </is>
      </c>
    </row>
    <row r="57">
      <c r="A57" s="27" t="inlineStr">
        <is>
          <t>σ_within</t>
        </is>
      </c>
      <c r="B57" s="33" t="inlineStr">
        <is>
          <t>σ_within = R̄ / d2(n)   [d2(5) 표 참조]</t>
        </is>
      </c>
      <c r="C57" s="28" t="inlineStr">
        <is>
          <t>단기 공정 산포 추정</t>
        </is>
      </c>
      <c r="D57" s="28" t="inlineStr">
        <is>
          <t>R̄, AIAG 상수 d2</t>
        </is>
      </c>
      <c r="E57" s="28" t="inlineStr">
        <is>
          <t>검증 §3·§4</t>
        </is>
      </c>
    </row>
    <row r="58">
      <c r="A58" s="27" t="inlineStr">
        <is>
          <t>Xbar UCL / LCL</t>
        </is>
      </c>
      <c r="B58" s="33" t="inlineStr">
        <is>
          <t>UCL = X̿ + A2(n)×R̄
LCL = X̿ − A2(n)×R̄</t>
        </is>
      </c>
      <c r="C58" s="28" t="inlineStr">
        <is>
          <t>A2(5) AIAG 상수</t>
        </is>
      </c>
      <c r="D58" s="28" t="inlineStr">
        <is>
          <t>Subgroup통계</t>
        </is>
      </c>
      <c r="E58" s="28" t="inlineStr">
        <is>
          <t>검증 §3</t>
        </is>
      </c>
    </row>
    <row r="59">
      <c r="A59" s="27" t="inlineStr">
        <is>
          <t>R 차트 UCL / LCL</t>
        </is>
      </c>
      <c r="B59" s="33" t="inlineStr">
        <is>
          <t>UCL_R = D4(n)×R̄
LCL_R = D3(n)×R̄</t>
        </is>
      </c>
      <c r="C59" s="28" t="inlineStr">
        <is>
          <t>D3,D4(5)</t>
        </is>
      </c>
      <c r="D59" s="28" t="inlineStr">
        <is>
          <t>관리한계 시트</t>
        </is>
      </c>
      <c r="E59" s="28" t="inlineStr">
        <is>
          <t>관리한계</t>
        </is>
      </c>
    </row>
    <row r="60"/>
    <row r="61">
      <c r="A61" s="31" t="inlineStr">
        <is>
          <t>6-2. 공정능력 (USL·LSL 입력 시)</t>
        </is>
      </c>
    </row>
    <row r="62">
      <c r="A62" s="32" t="inlineStr">
        <is>
          <t>산출값</t>
        </is>
      </c>
      <c r="B62" s="32" t="inlineStr">
        <is>
          <t>산출식</t>
        </is>
      </c>
      <c r="C62" s="32" t="inlineStr">
        <is>
          <t>변수·기호 설명</t>
        </is>
      </c>
      <c r="D62" s="32" t="inlineStr">
        <is>
          <t>데이터 출처</t>
        </is>
      </c>
      <c r="E62" s="32" t="inlineStr">
        <is>
          <t>검증 시트</t>
        </is>
      </c>
    </row>
    <row r="63">
      <c r="A63" s="27" t="inlineStr">
        <is>
          <t>Cp</t>
        </is>
      </c>
      <c r="B63" s="33" t="inlineStr">
        <is>
          <t>Cp = (USL − LSL) / (6 × σ_within)</t>
        </is>
      </c>
      <c r="C63" s="28" t="inlineStr">
        <is>
          <t>규격 폭 대비 공정 산포(위치 무관)</t>
        </is>
      </c>
      <c r="D63" s="28" t="inlineStr">
        <is>
          <t>USL, LSL + σ_within</t>
        </is>
      </c>
      <c r="E63" s="28" t="inlineStr">
        <is>
          <t>검증 §4</t>
        </is>
      </c>
    </row>
    <row r="64">
      <c r="A64" s="27" t="inlineStr">
        <is>
          <t>Cpu</t>
        </is>
      </c>
      <c r="B64" s="33" t="inlineStr">
        <is>
          <t>Cpu = (USL − X̄) / (3 × σ_within)</t>
        </is>
      </c>
      <c r="C64" s="28" t="inlineStr">
        <is>
          <t>상한까지 여유</t>
        </is>
      </c>
      <c r="D64" s="28" t="inlineStr">
        <is>
          <t>동일</t>
        </is>
      </c>
      <c r="E64" s="28" t="inlineStr">
        <is>
          <t>검증 §4</t>
        </is>
      </c>
    </row>
    <row r="65">
      <c r="A65" s="27" t="inlineStr">
        <is>
          <t>Cpl</t>
        </is>
      </c>
      <c r="B65" s="33" t="inlineStr">
        <is>
          <t>Cpl = (X̄ − LSL) / (3 × σ_within)</t>
        </is>
      </c>
      <c r="C65" s="28" t="inlineStr">
        <is>
          <t>하한까지 여유</t>
        </is>
      </c>
      <c r="D65" s="28" t="inlineStr">
        <is>
          <t>동일</t>
        </is>
      </c>
      <c r="E65" s="28" t="inlineStr">
        <is>
          <t>검증 §4</t>
        </is>
      </c>
    </row>
    <row r="66">
      <c r="A66" s="27" t="inlineStr">
        <is>
          <t>Cpk</t>
        </is>
      </c>
      <c r="B66" s="33" t="inlineStr">
        <is>
          <t>Cpk = min(Cpu, Cpl)</t>
        </is>
      </c>
      <c r="C66" s="28" t="inlineStr">
        <is>
          <t>치우친 쪽 기준 실질 능력</t>
        </is>
      </c>
      <c r="D66" s="28" t="inlineStr">
        <is>
          <t>동일</t>
        </is>
      </c>
      <c r="E66" s="28" t="inlineStr">
        <is>
          <t>검증 §4</t>
        </is>
      </c>
    </row>
    <row r="67">
      <c r="A67" s="27" t="inlineStr">
        <is>
          <t>Pp</t>
        </is>
      </c>
      <c r="B67" s="33" t="inlineStr">
        <is>
          <t>Pp = (USL − LSL) / (6 × σ_overall)</t>
        </is>
      </c>
      <c r="C67" s="28" t="inlineStr">
        <is>
          <t>전체 산포 기준 공정 폭</t>
        </is>
      </c>
      <c r="D67" s="28" t="inlineStr">
        <is>
          <t>σ_overall</t>
        </is>
      </c>
      <c r="E67" s="28" t="inlineStr">
        <is>
          <t>검증 §4</t>
        </is>
      </c>
    </row>
    <row r="68">
      <c r="A68" s="27" t="inlineStr">
        <is>
          <t>Ppk</t>
        </is>
      </c>
      <c r="B68" s="33" t="inlineStr">
        <is>
          <t>Ppk = min( (USL−X̄)/(3σ_overall), (X̄−LSL)/(3σ_overall) )</t>
        </is>
      </c>
      <c r="C68" s="28" t="inlineStr">
        <is>
          <t>전체 산포 기준 실질 능력</t>
        </is>
      </c>
      <c r="D68" s="28" t="inlineStr">
        <is>
          <t>동일</t>
        </is>
      </c>
      <c r="E68" s="28" t="inlineStr">
        <is>
          <t>검증 §4</t>
        </is>
      </c>
    </row>
    <row r="69">
      <c r="A69" s="27" t="inlineStr">
        <is>
          <t>예상 PPM</t>
        </is>
      </c>
      <c r="B69" s="33" t="inlineStr">
        <is>
          <t>PPM = [ P(X&gt;USL) + P(X&lt;LSL) ] × 1,000,000
P(X&gt;USL) = 1 − Φ((USL−X̄)/σ_within)
P(X&lt;LSL) = Φ((LSL−X̄)/σ_within)  [Φ=표준정규CDF]</t>
        </is>
      </c>
      <c r="C69" s="28" t="inlineStr">
        <is>
          <t>정규분포 가정</t>
        </is>
      </c>
      <c r="D69" s="28" t="inlineStr">
        <is>
          <t>X̄, σ_within, USL, LSL</t>
        </is>
      </c>
      <c r="E69" s="28" t="inlineStr">
        <is>
          <t>—</t>
        </is>
      </c>
    </row>
    <row r="70"/>
    <row r="71">
      <c r="A71" s="31" t="inlineStr">
        <is>
          <t>6-3. 정규성 검정</t>
        </is>
      </c>
    </row>
    <row r="72">
      <c r="A72" s="32" t="inlineStr">
        <is>
          <t>산출값</t>
        </is>
      </c>
      <c r="B72" s="32" t="inlineStr">
        <is>
          <t>산출식</t>
        </is>
      </c>
      <c r="C72" s="32" t="inlineStr">
        <is>
          <t>변수·기호 설명</t>
        </is>
      </c>
      <c r="D72" s="32" t="inlineStr">
        <is>
          <t>데이터 출처</t>
        </is>
      </c>
      <c r="E72" s="32" t="inlineStr">
        <is>
          <t>검증 시트</t>
        </is>
      </c>
    </row>
    <row r="73">
      <c r="A73" s="27" t="inlineStr">
        <is>
          <t>Shapiro-Wilk p-value</t>
        </is>
      </c>
      <c r="B73" s="33" t="inlineStr">
        <is>
          <t>p = Shapiro-Wilk(xi)  (N≤5000)
또는 D'Agostino 검정 (N&gt;5000)</t>
        </is>
      </c>
      <c r="C73" s="28" t="inlineStr">
        <is>
          <t>p ≥ α → 정규, p &lt; α → 비정규</t>
        </is>
      </c>
      <c r="D73" s="28" t="inlineStr">
        <is>
          <t>채취표본 전체 value</t>
        </is>
      </c>
      <c r="E73" s="28" t="inlineStr">
        <is>
          <t>검증 §5 (시트 교차)</t>
        </is>
      </c>
    </row>
    <row r="74">
      <c r="A74" s="27" t="inlineStr">
        <is>
          <t>정규성 판정</t>
        </is>
      </c>
      <c r="B74" s="33" t="inlineStr">
        <is>
          <t>정규  if  p-value ≥ α  (기본 α=0.05)</t>
        </is>
      </c>
      <c r="C74" s="28" t="inlineStr">
        <is>
          <t>α = 유의수준</t>
        </is>
      </c>
      <c r="D74" s="28" t="inlineStr">
        <is>
          <t>정규성검정 시트</t>
        </is>
      </c>
      <c r="E74" s="28" t="inlineStr">
        <is>
          <t>정규성검정</t>
        </is>
      </c>
    </row>
    <row r="75"/>
    <row r="76"/>
    <row r="77">
      <c r="A77" s="34" t="inlineStr">
        <is>
          <t>■ 보고서 시트 읽는 순서 (추천)</t>
        </is>
      </c>
    </row>
    <row r="78">
      <c r="A78" s="35" t="inlineStr">
        <is>
          <t>1</t>
        </is>
      </c>
      <c r="B78" s="36" t="inlineStr">
        <is>
          <t>용어_초보가이드</t>
        </is>
      </c>
      <c r="C78" s="37" t="inlineStr">
        <is>
          <t>지금 보고 계신 시트 — 용어·판단 기준</t>
        </is>
      </c>
    </row>
    <row r="79">
      <c r="A79" s="35" t="inlineStr">
        <is>
          <t>2</t>
        </is>
      </c>
      <c r="B79" s="36" t="inlineStr">
        <is>
          <t>종합</t>
        </is>
      </c>
      <c r="C79" s="37" t="inlineStr">
        <is>
          <t>한 페이지 요약, 차트, 결론</t>
        </is>
      </c>
    </row>
    <row r="80">
      <c r="A80" s="35" t="inlineStr">
        <is>
          <t>3</t>
        </is>
      </c>
      <c r="B80" s="36" t="inlineStr">
        <is>
          <t>검증_수식연계</t>
        </is>
      </c>
      <c r="C80" s="37" t="inlineStr">
        <is>
          <t>숫자가 맞게 계산됐는지 Excel 수식으로 확인</t>
        </is>
      </c>
    </row>
    <row r="81">
      <c r="A81" s="35" t="inlineStr">
        <is>
          <t>4</t>
        </is>
      </c>
      <c r="B81" s="36" t="inlineStr">
        <is>
          <t>채취표본</t>
        </is>
      </c>
      <c r="C81" s="37" t="inlineStr">
        <is>
          <t>분석에 쓴 측정 데이터</t>
        </is>
      </c>
    </row>
    <row r="82">
      <c r="A82" s="35" t="inlineStr">
        <is>
          <t>5</t>
        </is>
      </c>
      <c r="B82" s="36" t="inlineStr">
        <is>
          <t>Subgroup통계 / Individual통계</t>
        </is>
      </c>
      <c r="C82" s="37" t="inlineStr">
        <is>
          <t>관리도용 요약 통계</t>
        </is>
      </c>
    </row>
    <row r="83">
      <c r="A83" s="35" t="inlineStr">
        <is>
          <t>6</t>
        </is>
      </c>
      <c r="B83" s="36" t="inlineStr">
        <is>
          <t>공정능력 · 정규성검정 · 관리한계</t>
        </is>
      </c>
      <c r="C83" s="37" t="inlineStr">
        <is>
          <t>상세 수치표</t>
        </is>
      </c>
    </row>
    <row r="84"/>
    <row r="85"/>
    <row r="86">
      <c r="A86" s="38" t="inlineStr">
        <is>
          <t>■ 자주 쓰는 판단 기준 (일반적인 가이드)</t>
        </is>
      </c>
    </row>
    <row r="87">
      <c r="A87" s="39" t="inlineStr">
        <is>
          <t>· Cpk ≥ 1.33 : 많은 현장에서 「공정이 규격 안에 잘 들어온다」고 보는 기준(회사별 기준은 다를 수 있음)</t>
        </is>
      </c>
    </row>
    <row r="88">
      <c r="A88" s="39" t="inlineStr">
        <is>
          <t>· p-value ≥ 0.05 : 정규성 검정에서 「데이터가 정규분포와 크게 다르지 않다」고 보는 일반적 기준(유의수준 5%)</t>
        </is>
      </c>
    </row>
    <row r="89">
      <c r="A89" s="39" t="inlineStr">
        <is>
          <t>· 관리도 점이 UCL/LCL 밖 : 그 시점에 특별한 원인(이상)이 있었을 가능성 — 원인 조사 권장</t>
        </is>
      </c>
    </row>
    <row r="90">
      <c r="A90" s="39" t="inlineStr">
        <is>
          <t>· Cp는 좋은데 Cpk가 낮음 : 산포는 괜찮지만 평균이 규격 중심에서 벗어남 → 위치 조정 필요</t>
        </is>
      </c>
    </row>
  </sheetData>
  <mergeCells count="25">
    <mergeCell ref="A77:E77"/>
    <mergeCell ref="A90:F90"/>
    <mergeCell ref="A4:D4"/>
    <mergeCell ref="C80:E80"/>
    <mergeCell ref="A20:D20"/>
    <mergeCell ref="A51:E51"/>
    <mergeCell ref="A89:F89"/>
    <mergeCell ref="A61:E61"/>
    <mergeCell ref="A28:D28"/>
    <mergeCell ref="A86:F86"/>
    <mergeCell ref="A2:F2"/>
    <mergeCell ref="A46:E46"/>
    <mergeCell ref="A11:D11"/>
    <mergeCell ref="C82:E82"/>
    <mergeCell ref="C81:E81"/>
    <mergeCell ref="A71:E71"/>
    <mergeCell ref="C78:E78"/>
    <mergeCell ref="C83:E83"/>
    <mergeCell ref="A37:D37"/>
    <mergeCell ref="A43:E43"/>
    <mergeCell ref="A1:F1"/>
    <mergeCell ref="C79:E79"/>
    <mergeCell ref="A88:F88"/>
    <mergeCell ref="A44:E44"/>
    <mergeCell ref="A87:F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14" customWidth="1" min="4" max="4"/>
    <col width="10" customWidth="1" min="5" max="5"/>
    <col width="8" customWidth="1" min="6" max="6"/>
    <col width="28" customWidth="1" min="7" max="7"/>
  </cols>
  <sheetData>
    <row r="1">
      <c r="A1" s="40" t="inlineStr">
        <is>
          <t>SPC 산출값 검증 · 데이터·수식 연계</t>
        </is>
      </c>
    </row>
    <row r="2">
      <c r="A2" s="41" t="inlineStr">
        <is>
          <t>프로그램 산출값(B열)과 Excel 수식(C열→D열 계산)을 비교합니다. 수식은 영문 Excel 표준 형식(AVERAGE, STDEV.S, MIN 등)이며, 채취표본 시트의 측정값 열·데이터 행 수는 보고서 생성 시 자동 탐지됩니다. 측정값 자동 연결: 채취표본!$M$2:$M$126 [헤더=value]</t>
        </is>
      </c>
    </row>
    <row r="3"/>
    <row r="4">
      <c r="A4" s="42" t="inlineStr">
        <is>
          <t>1. 보고서 데이터 연계 맵</t>
        </is>
      </c>
    </row>
    <row r="5">
      <c r="A5" s="43" t="inlineStr">
        <is>
          <t>종합/요약 항목</t>
        </is>
      </c>
      <c r="B5" s="43" t="inlineStr">
        <is>
          <t>출처 시트</t>
        </is>
      </c>
      <c r="C5" s="43" t="inlineStr">
        <is>
          <t>Excel 참조</t>
        </is>
      </c>
      <c r="D5" s="43" t="inlineStr">
        <is>
          <t>설명</t>
        </is>
      </c>
    </row>
    <row r="6">
      <c r="A6" s="44" t="inlineStr">
        <is>
          <t>표본·평균·σ_overall</t>
        </is>
      </c>
      <c r="B6" s="44" t="inlineStr">
        <is>
          <t>채취표본</t>
        </is>
      </c>
      <c r="C6" s="44" t="inlineStr">
        <is>
          <t>채취표본!$M$2:$M$126</t>
        </is>
      </c>
      <c r="D6" s="44" t="inlineStr">
        <is>
          <t>측정값 열 자동(value)</t>
        </is>
      </c>
    </row>
    <row r="7">
      <c r="A7" s="44" t="inlineStr">
        <is>
          <t>Subgroup Xbar / R / S</t>
        </is>
      </c>
      <c r="B7" s="44" t="inlineStr">
        <is>
          <t>Subgroup통계</t>
        </is>
      </c>
      <c r="C7" s="44" t="inlineStr">
        <is>
          <t>Xbar·R 또는 S</t>
        </is>
      </c>
      <c r="D7" s="44" t="inlineStr">
        <is>
          <t>X-bar 관리도</t>
        </is>
      </c>
    </row>
    <row r="8">
      <c r="A8" s="44" t="inlineStr">
        <is>
          <t>I / MR</t>
        </is>
      </c>
      <c r="B8" s="44" t="inlineStr">
        <is>
          <t>Individual통계</t>
        </is>
      </c>
      <c r="C8" s="44" t="inlineStr">
        <is>
          <t>I·MR 열</t>
        </is>
      </c>
      <c r="D8" s="44" t="inlineStr">
        <is>
          <t>I-MR 관리도</t>
        </is>
      </c>
    </row>
    <row r="9">
      <c r="A9" s="44" t="inlineStr">
        <is>
          <t>관리한계</t>
        </is>
      </c>
      <c r="B9" s="44" t="inlineStr">
        <is>
          <t>관리한계</t>
        </is>
      </c>
      <c r="C9" s="44" t="inlineStr">
        <is>
          <t>차트·항목별 행</t>
        </is>
      </c>
      <c r="D9" s="44" t="inlineStr">
        <is>
          <t>AIAG 상수</t>
        </is>
      </c>
    </row>
    <row r="10">
      <c r="A10" s="44" t="inlineStr">
        <is>
          <t>Cp/Cpk/Pp/Ppk</t>
        </is>
      </c>
      <c r="B10" s="44" t="inlineStr">
        <is>
          <t>공정능력</t>
        </is>
      </c>
      <c r="C10" s="44" t="inlineStr">
        <is>
          <t>행200 기준값·수식</t>
        </is>
      </c>
      <c r="D10" s="44" t="inlineStr">
        <is>
          <t>본 시트 §4</t>
        </is>
      </c>
    </row>
    <row r="11">
      <c r="A11" s="44" t="inlineStr">
        <is>
          <t>정규성</t>
        </is>
      </c>
      <c r="B11" s="44" t="inlineStr">
        <is>
          <t>정규성검정</t>
        </is>
      </c>
      <c r="C11" s="44" t="inlineStr">
        <is>
          <t>정규성검정!$C$2</t>
        </is>
      </c>
      <c r="D11" s="44" t="inlineStr">
        <is>
          <t>p-value 열 자동 탐지</t>
        </is>
      </c>
    </row>
    <row r="12"/>
    <row r="13">
      <c r="A13" s="42" t="inlineStr">
        <is>
          <t>2. 채취표본 기반 통계 (Excel 재계산)</t>
        </is>
      </c>
    </row>
    <row r="14">
      <c r="A14" s="43" t="inlineStr">
        <is>
          <t>항목</t>
        </is>
      </c>
      <c r="B14" s="43" t="inlineStr">
        <is>
          <t>프로그램 산출</t>
        </is>
      </c>
      <c r="C14" s="43" t="inlineStr">
        <is>
          <t>Excel 검증 수식</t>
        </is>
      </c>
      <c r="D14" s="43" t="inlineStr">
        <is>
          <t>Excel 계산값</t>
        </is>
      </c>
      <c r="E14" s="43" t="inlineStr">
        <is>
          <t>차이</t>
        </is>
      </c>
      <c r="F14" s="43" t="inlineStr">
        <is>
          <t>일치</t>
        </is>
      </c>
      <c r="G14" s="43" t="inlineStr">
        <is>
          <t>연계 시트/범위</t>
        </is>
      </c>
    </row>
    <row r="15">
      <c r="A15" s="44" t="inlineStr">
        <is>
          <t>표본수 n</t>
        </is>
      </c>
      <c r="B15" s="45" t="n">
        <v>125</v>
      </c>
      <c r="C15" s="46">
        <f>COUNT(채취표본!$M$2:$M$126)</f>
        <v/>
      </c>
      <c r="D15" s="45">
        <f>C15</f>
        <v/>
      </c>
      <c r="E15" s="45">
        <f>ABS(B15-D15)</f>
        <v/>
      </c>
      <c r="F15" s="44">
        <f>IF(ABS(B15-D15)&lt;0.0001,"OK","NG")</f>
        <v/>
      </c>
      <c r="G15" s="46" t="inlineStr">
        <is>
          <t>채취표본!$M$2:$M$126</t>
        </is>
      </c>
    </row>
    <row r="16">
      <c r="A16" s="44" t="inlineStr">
        <is>
          <t>평균 Mean</t>
        </is>
      </c>
      <c r="B16" s="45" t="n">
        <v>-0.098</v>
      </c>
      <c r="C16" s="46">
        <f>AVERAGE(채취표본!$M$2:$M$126)</f>
        <v/>
      </c>
      <c r="D16" s="45">
        <f>C16</f>
        <v/>
      </c>
      <c r="E16" s="45">
        <f>ABS(B16-D16)</f>
        <v/>
      </c>
      <c r="F16" s="44">
        <f>IF(ABS(B16-D16)&lt;0.0001,"OK","NG")</f>
        <v/>
      </c>
      <c r="G16" s="46" t="inlineStr">
        <is>
          <t>채취표본!$M$2:$M$126</t>
        </is>
      </c>
    </row>
    <row r="17">
      <c r="A17" s="44" t="inlineStr">
        <is>
          <t>σ_overall STDEV.S</t>
        </is>
      </c>
      <c r="B17" s="45" t="n">
        <v>0.1926136028425822</v>
      </c>
      <c r="C17" s="46">
        <f>_xlfn.STDEV.S(채취표본!$M$2:$M$126)</f>
        <v/>
      </c>
      <c r="D17" s="45">
        <f>C17</f>
        <v/>
      </c>
      <c r="E17" s="45">
        <f>ABS(B17-D17)</f>
        <v/>
      </c>
      <c r="F17" s="44">
        <f>IF(ABS(B17-D17)&lt;0.0001,"OK","NG")</f>
        <v/>
      </c>
      <c r="G17" s="46" t="inlineStr">
        <is>
          <t>채취표본!$M$2:$M$126</t>
        </is>
      </c>
    </row>
    <row r="18"/>
    <row r="19">
      <c r="A19" s="42" t="inlineStr">
        <is>
          <t>3. 관리도 한계 검증</t>
        </is>
      </c>
    </row>
    <row r="20">
      <c r="A20" s="43" t="inlineStr">
        <is>
          <t>항목</t>
        </is>
      </c>
      <c r="B20" s="43" t="inlineStr">
        <is>
          <t>프로그램 산출</t>
        </is>
      </c>
      <c r="C20" s="43" t="inlineStr">
        <is>
          <t>Excel 검증 수식</t>
        </is>
      </c>
      <c r="D20" s="43" t="inlineStr">
        <is>
          <t>Excel 계산값</t>
        </is>
      </c>
      <c r="E20" s="43" t="inlineStr">
        <is>
          <t>차이</t>
        </is>
      </c>
      <c r="F20" s="43" t="inlineStr">
        <is>
          <t>일치</t>
        </is>
      </c>
      <c r="G20" s="43" t="inlineStr">
        <is>
          <t>연계 시트/범위</t>
        </is>
      </c>
    </row>
    <row r="21">
      <c r="A21" s="44" t="inlineStr">
        <is>
          <t>X̿ (Xbar-bar)</t>
        </is>
      </c>
      <c r="B21" s="45" t="n">
        <v>-0.098</v>
      </c>
      <c r="C21" s="46">
        <f>AVERAGE(Subgroup통계!$B$2:$B$26)</f>
        <v/>
      </c>
      <c r="D21" s="45">
        <f>C21</f>
        <v/>
      </c>
      <c r="E21" s="45">
        <f>ABS(B21-D21)</f>
        <v/>
      </c>
      <c r="F21" s="44">
        <f>IF(ABS(B21-D21)&lt;1e-05,"OK","NG")</f>
        <v/>
      </c>
      <c r="G21" s="46" t="inlineStr">
        <is>
          <t>Subgroup통계!$B$2:$B$26</t>
        </is>
      </c>
    </row>
    <row r="22">
      <c r="A22" s="44" t="inlineStr">
        <is>
          <t>R̄</t>
        </is>
      </c>
      <c r="B22" s="45" t="n">
        <v>0.3336</v>
      </c>
      <c r="C22" s="46">
        <f>AVERAGE(Subgroup통계!$C$2:$C$26)</f>
        <v/>
      </c>
      <c r="D22" s="45">
        <f>C22</f>
        <v/>
      </c>
      <c r="E22" s="45">
        <f>ABS(B22-D22)</f>
        <v/>
      </c>
      <c r="F22" s="44">
        <f>IF(ABS(B22-D22)&lt;1e-05,"OK","NG")</f>
        <v/>
      </c>
      <c r="G22" s="46" t="inlineStr">
        <is>
          <t>Subgroup통계!$C$2:$C$26</t>
        </is>
      </c>
    </row>
    <row r="23">
      <c r="A23" s="44" t="inlineStr">
        <is>
          <t>σ_within=R̄/d2</t>
        </is>
      </c>
      <c r="B23" s="45" t="n">
        <v>0.1434221840068788</v>
      </c>
      <c r="C23" s="46">
        <f>AVERAGE(Subgroup통계!$C$2:$C$26)/2.326</f>
        <v/>
      </c>
      <c r="D23" s="45">
        <f>C23</f>
        <v/>
      </c>
      <c r="E23" s="45">
        <f>ABS(B23-D23)</f>
        <v/>
      </c>
      <c r="F23" s="44">
        <f>IF(ABS(B23-D23)&lt;1e-05,"OK","NG")</f>
        <v/>
      </c>
      <c r="G23" s="46" t="inlineStr">
        <is>
          <t>d2=2.326</t>
        </is>
      </c>
    </row>
    <row r="24">
      <c r="A24" s="44" t="inlineStr">
        <is>
          <t>Xbar UCL</t>
        </is>
      </c>
      <c r="B24" s="45" t="n">
        <v>0.09448719999999999</v>
      </c>
      <c r="C24" s="46">
        <f>AVERAGE(Subgroup통계!$B$2:$B$26)+0.577*AVERAGE(Subgroup통계!$C$2:$C$26)</f>
        <v/>
      </c>
      <c r="D24" s="45">
        <f>C24</f>
        <v/>
      </c>
      <c r="E24" s="45">
        <f>ABS(B24-D24)</f>
        <v/>
      </c>
      <c r="F24" s="44">
        <f>IF(ABS(B24-D24)&lt;1e-05,"OK","NG")</f>
        <v/>
      </c>
      <c r="G24" s="46" t="inlineStr">
        <is>
          <t>A2=0.577</t>
        </is>
      </c>
    </row>
    <row r="25"/>
    <row r="26"/>
    <row r="27">
      <c r="A27" s="42" t="inlineStr">
        <is>
          <t>4. 공정능력 지표 검증 (AIAG 수식)</t>
        </is>
      </c>
    </row>
    <row r="28">
      <c r="A28" s="43" t="inlineStr">
        <is>
          <t>항목</t>
        </is>
      </c>
      <c r="B28" s="43" t="inlineStr">
        <is>
          <t>프로그램 산출</t>
        </is>
      </c>
      <c r="C28" s="43" t="inlineStr">
        <is>
          <t>Excel 검증 수식</t>
        </is>
      </c>
      <c r="D28" s="43" t="inlineStr">
        <is>
          <t>Excel 계산값</t>
        </is>
      </c>
      <c r="E28" s="43" t="inlineStr">
        <is>
          <t>차이</t>
        </is>
      </c>
      <c r="F28" s="43" t="inlineStr">
        <is>
          <t>일치</t>
        </is>
      </c>
      <c r="G28" s="43" t="inlineStr">
        <is>
          <t>연계 시트/범위</t>
        </is>
      </c>
    </row>
    <row r="29">
      <c r="A29" s="44" t="inlineStr">
        <is>
          <t>Cp (수식검증)</t>
        </is>
      </c>
      <c r="B29" s="45" t="n">
        <v>1.394484412470024</v>
      </c>
      <c r="C29" s="46">
        <f>IF((6*$B$203)=0,0,(($B$200-$B$201))/(6*$B$203))</f>
        <v/>
      </c>
      <c r="D29" s="45">
        <f>C29</f>
        <v/>
      </c>
      <c r="E29" s="45">
        <f>ABS(B29-D29)</f>
        <v/>
      </c>
      <c r="F29" s="44">
        <f>IF(ABS(B29-D29)&lt;0.0002,"OK","NG")</f>
        <v/>
      </c>
      <c r="G29" s="46" t="inlineStr">
        <is>
          <t>6*sigma_within; sheet=공정능력!$F$2</t>
        </is>
      </c>
    </row>
    <row r="30">
      <c r="A30" s="44" t="inlineStr">
        <is>
          <t>Cp (시트교차)</t>
        </is>
      </c>
      <c r="B30" s="45" t="n">
        <v>1.394484412470024</v>
      </c>
      <c r="C30" s="46">
        <f>공정능력!$F$2</f>
        <v/>
      </c>
      <c r="D30" s="45">
        <f>C30</f>
        <v/>
      </c>
      <c r="E30" s="45">
        <f>ABS(B30-D30)</f>
        <v/>
      </c>
      <c r="F30" s="44">
        <f>IF(ABS(B30-D30)&lt;0.0002,"OK","NG")</f>
        <v/>
      </c>
      <c r="G30" s="46" t="inlineStr">
        <is>
          <t>공정능력 row 2</t>
        </is>
      </c>
    </row>
    <row r="31">
      <c r="A31" s="44" t="inlineStr">
        <is>
          <t>Cpu (수식검증)</t>
        </is>
      </c>
      <c r="B31" s="45" t="n">
        <v>1.622250199840128</v>
      </c>
      <c r="C31" s="46">
        <f>IF((3*$B$203)=0,0,(($B$200-$B$202))/(3*$B$203))</f>
        <v/>
      </c>
      <c r="D31" s="45">
        <f>C31</f>
        <v/>
      </c>
      <c r="E31" s="45">
        <f>ABS(B31-D31)</f>
        <v/>
      </c>
      <c r="F31" s="44">
        <f>IF(ABS(B31-D31)&lt;0.0002,"OK","NG")</f>
        <v/>
      </c>
      <c r="G31" s="46" t="inlineStr">
        <is>
          <t>3*sigma_within; sheet=공정능력!$J$2</t>
        </is>
      </c>
    </row>
    <row r="32">
      <c r="A32" s="44" t="inlineStr">
        <is>
          <t>Cpu (시트교차)</t>
        </is>
      </c>
      <c r="B32" s="45" t="n">
        <v>1.622250199840128</v>
      </c>
      <c r="C32" s="46">
        <f>공정능력!$J$2</f>
        <v/>
      </c>
      <c r="D32" s="45">
        <f>C32</f>
        <v/>
      </c>
      <c r="E32" s="45">
        <f>ABS(B32-D32)</f>
        <v/>
      </c>
      <c r="F32" s="44">
        <f>IF(ABS(B32-D32)&lt;0.0002,"OK","NG")</f>
        <v/>
      </c>
      <c r="G32" s="46" t="inlineStr">
        <is>
          <t>공정능력 row 2</t>
        </is>
      </c>
    </row>
    <row r="33">
      <c r="A33" s="44" t="inlineStr">
        <is>
          <t>Cpl (수식검증)</t>
        </is>
      </c>
      <c r="B33" s="45" t="n">
        <v>1.16671862509992</v>
      </c>
      <c r="C33" s="46">
        <f>IF((3*$B$203)=0,0,(($B$202-$B$201))/(3*$B$203))</f>
        <v/>
      </c>
      <c r="D33" s="45">
        <f>C33</f>
        <v/>
      </c>
      <c r="E33" s="45">
        <f>ABS(B33-D33)</f>
        <v/>
      </c>
      <c r="F33" s="44">
        <f>IF(ABS(B33-D33)&lt;0.0002,"OK","NG")</f>
        <v/>
      </c>
      <c r="G33" s="46" t="inlineStr">
        <is>
          <t>3*sigma_within; sheet=공정능력!$K$2</t>
        </is>
      </c>
    </row>
    <row r="34">
      <c r="A34" s="44" t="inlineStr">
        <is>
          <t>Cpl (시트교차)</t>
        </is>
      </c>
      <c r="B34" s="45" t="n">
        <v>1.16671862509992</v>
      </c>
      <c r="C34" s="46">
        <f>공정능력!$K$2</f>
        <v/>
      </c>
      <c r="D34" s="45">
        <f>C34</f>
        <v/>
      </c>
      <c r="E34" s="45">
        <f>ABS(B34-D34)</f>
        <v/>
      </c>
      <c r="F34" s="44">
        <f>IF(ABS(B34-D34)&lt;0.0002,"OK","NG")</f>
        <v/>
      </c>
      <c r="G34" s="46" t="inlineStr">
        <is>
          <t>공정능력 row 2</t>
        </is>
      </c>
    </row>
    <row r="35">
      <c r="A35" s="44" t="inlineStr">
        <is>
          <t>Cpk (수식검증)</t>
        </is>
      </c>
      <c r="B35" s="45" t="n">
        <v>1.16671862509992</v>
      </c>
      <c r="C35" s="46">
        <f>MIN(IF((3*$B$203)=0,0,(($B$200-$B$202))/(3*$B$203)),IF((3*$B$203)=0,0,(($B$202-$B$201))/(3*$B$203)))</f>
        <v/>
      </c>
      <c r="D35" s="45">
        <f>C35</f>
        <v/>
      </c>
      <c r="E35" s="45">
        <f>ABS(B35-D35)</f>
        <v/>
      </c>
      <c r="F35" s="44">
        <f>IF(ABS(B35-D35)&lt;0.0002,"OK","NG")</f>
        <v/>
      </c>
      <c r="G35" s="46" t="inlineStr">
        <is>
          <t>min(Cpu,Cpl); sheet=공정능력!$G$2</t>
        </is>
      </c>
    </row>
    <row r="36">
      <c r="A36" s="44" t="inlineStr">
        <is>
          <t>Cpk (시트교차)</t>
        </is>
      </c>
      <c r="B36" s="45" t="n">
        <v>1.16671862509992</v>
      </c>
      <c r="C36" s="46">
        <f>공정능력!$G$2</f>
        <v/>
      </c>
      <c r="D36" s="45">
        <f>C36</f>
        <v/>
      </c>
      <c r="E36" s="45">
        <f>ABS(B36-D36)</f>
        <v/>
      </c>
      <c r="F36" s="44">
        <f>IF(ABS(B36-D36)&lt;0.0002,"OK","NG")</f>
        <v/>
      </c>
      <c r="G36" s="46" t="inlineStr">
        <is>
          <t>공정능력 row 2</t>
        </is>
      </c>
    </row>
    <row r="37">
      <c r="A37" s="44" t="inlineStr">
        <is>
          <t>Pp (수식검증)</t>
        </is>
      </c>
      <c r="B37" s="45" t="n">
        <v>1.03834826330233</v>
      </c>
      <c r="C37" s="46">
        <f>IF((6*$B$204)=0,0,(($B$200-$B$201))/(6*$B$204))</f>
        <v/>
      </c>
      <c r="D37" s="45">
        <f>C37</f>
        <v/>
      </c>
      <c r="E37" s="45">
        <f>ABS(B37-D37)</f>
        <v/>
      </c>
      <c r="F37" s="44">
        <f>IF(ABS(B37-D37)&lt;0.0002,"OK","NG")</f>
        <v/>
      </c>
      <c r="G37" s="46" t="inlineStr">
        <is>
          <t>6*sigma_overall; sheet=공정능력!$H$2</t>
        </is>
      </c>
    </row>
    <row r="38">
      <c r="A38" s="44" t="inlineStr">
        <is>
          <t>Pp (시트교차)</t>
        </is>
      </c>
      <c r="B38" s="45" t="n">
        <v>1.03834826330233</v>
      </c>
      <c r="C38" s="46">
        <f>공정능력!$H$2</f>
        <v/>
      </c>
      <c r="D38" s="45">
        <f>C38</f>
        <v/>
      </c>
      <c r="E38" s="45">
        <f>ABS(B38-D38)</f>
        <v/>
      </c>
      <c r="F38" s="44">
        <f>IF(ABS(B38-D38)&lt;0.0002,"OK","NG")</f>
        <v/>
      </c>
      <c r="G38" s="46" t="inlineStr">
        <is>
          <t>공정능력 row 2</t>
        </is>
      </c>
    </row>
    <row r="39">
      <c r="A39" s="44" t="inlineStr">
        <is>
          <t>Ppk (수식검증)</t>
        </is>
      </c>
      <c r="B39" s="45" t="n">
        <v>0.8687513802962828</v>
      </c>
      <c r="C39" s="46">
        <f>MIN(IF((3*$B$204)=0,0,(($B$200-$B$202))/(3*$B$204)),IF((3*$B$204)=0,0,(($B$202-$B$201))/(3*$B$204)))</f>
        <v/>
      </c>
      <c r="D39" s="45">
        <f>C39</f>
        <v/>
      </c>
      <c r="E39" s="45">
        <f>ABS(B39-D39)</f>
        <v/>
      </c>
      <c r="F39" s="44">
        <f>IF(ABS(B39-D39)&lt;0.0002,"OK","NG")</f>
        <v/>
      </c>
      <c r="G39" s="46" t="inlineStr">
        <is>
          <t>min(Ppu,Ppl); sheet=공정능력!$I$2</t>
        </is>
      </c>
    </row>
    <row r="40">
      <c r="A40" s="44" t="inlineStr">
        <is>
          <t>Ppk (시트교차)</t>
        </is>
      </c>
      <c r="B40" s="45" t="n">
        <v>0.8687513802962828</v>
      </c>
      <c r="C40" s="46">
        <f>공정능력!$I$2</f>
        <v/>
      </c>
      <c r="D40" s="45">
        <f>C40</f>
        <v/>
      </c>
      <c r="E40" s="45">
        <f>ABS(B40-D40)</f>
        <v/>
      </c>
      <c r="F40" s="44">
        <f>IF(ABS(B40-D40)&lt;0.0002,"OK","NG")</f>
        <v/>
      </c>
      <c r="G40" s="46" t="inlineStr">
        <is>
          <t>공정능력 row 2</t>
        </is>
      </c>
    </row>
    <row r="41"/>
    <row r="42">
      <c r="A42" s="42" t="inlineStr">
        <is>
          <t>5. 정규성·시트 교차참조</t>
        </is>
      </c>
    </row>
    <row r="43">
      <c r="A43" s="43" t="inlineStr">
        <is>
          <t>항목</t>
        </is>
      </c>
      <c r="B43" s="43" t="inlineStr">
        <is>
          <t>프로그램 산출</t>
        </is>
      </c>
      <c r="C43" s="43" t="inlineStr">
        <is>
          <t>Excel 검증 수식</t>
        </is>
      </c>
      <c r="D43" s="43" t="inlineStr">
        <is>
          <t>Excel 계산값</t>
        </is>
      </c>
      <c r="E43" s="43" t="inlineStr">
        <is>
          <t>차이</t>
        </is>
      </c>
      <c r="F43" s="43" t="inlineStr">
        <is>
          <t>일치</t>
        </is>
      </c>
      <c r="G43" s="43" t="inlineStr">
        <is>
          <t>연계 시트/범위</t>
        </is>
      </c>
    </row>
    <row r="44">
      <c r="A44" s="44" t="inlineStr">
        <is>
          <t>p-value</t>
        </is>
      </c>
      <c r="B44" s="45" t="n">
        <v>0.04156946019772666</v>
      </c>
      <c r="C44" s="46">
        <f>정규성검정!$C$2</f>
        <v/>
      </c>
      <c r="D44" s="45">
        <f>C44</f>
        <v/>
      </c>
      <c r="E44" s="45">
        <f>ABS(B44-D44)</f>
        <v/>
      </c>
      <c r="F44" s="44">
        <f>IF(ABS(B44-D44)&lt;1e-06,"OK","NG")</f>
        <v/>
      </c>
      <c r="G44" s="46" t="inlineStr">
        <is>
          <t>정규성검정!$C$2 자동 참조. Excel 표준 함수로 Shapiro-Wilk p-value 계산 불가 (SWTEST/SHAPIRO 없음, Real Statistics 등 애드인만 별도 지원).</t>
        </is>
      </c>
    </row>
    <row r="45">
      <c r="A45" s="44" t="inlineStr">
        <is>
          <t>표본수 n</t>
        </is>
      </c>
      <c r="B45" s="45" t="n">
        <v>125</v>
      </c>
      <c r="C45" s="46">
        <f>COUNT(채취표본!$M$2:$M$126)</f>
        <v/>
      </c>
      <c r="D45" s="45">
        <f>C45</f>
        <v/>
      </c>
      <c r="E45" s="45">
        <f>ABS(B45-D45)</f>
        <v/>
      </c>
      <c r="F45" s="44">
        <f>IF(ABS(B45-D45)&lt;0.0001,"OK","NG")</f>
        <v/>
      </c>
      <c r="G45" s="46" t="inlineStr">
        <is>
          <t>채취표본</t>
        </is>
      </c>
    </row>
    <row r="46">
      <c r="A46" s="44" t="inlineStr">
        <is>
          <t>관리한계 Xbar UCL</t>
        </is>
      </c>
      <c r="B46" s="45" t="n">
        <v>0.09448719999999999</v>
      </c>
      <c r="C46" s="46">
        <f>SUMIFS('관리한계'!$C$2:$C$7,'관리한계'!$A$2:$A$7,"Xbar",'관리한계'!$B$2:$B$7,"UCL")</f>
        <v/>
      </c>
      <c r="D46" s="45">
        <f>C46</f>
        <v/>
      </c>
      <c r="E46" s="45">
        <f>ABS(B46-D46)</f>
        <v/>
      </c>
      <c r="F46" s="44">
        <f>IF(ABS(B46-D46)&lt;1e-05,"OK","NG")</f>
        <v/>
      </c>
      <c r="G46" s="46" t="inlineStr">
        <is>
          <t>관리한계</t>
        </is>
      </c>
    </row>
    <row r="47">
      <c r="A47" s="44" t="inlineStr">
        <is>
          <t>관리한계 Xbar CL</t>
        </is>
      </c>
      <c r="B47" s="45" t="n">
        <v>-0.098</v>
      </c>
      <c r="C47" s="46">
        <f>SUMIFS('관리한계'!$C$2:$C$7,'관리한계'!$A$2:$A$7,"Xbar",'관리한계'!$B$2:$B$7,"CL")</f>
        <v/>
      </c>
      <c r="D47" s="45">
        <f>C47</f>
        <v/>
      </c>
      <c r="E47" s="45">
        <f>ABS(B47-D47)</f>
        <v/>
      </c>
      <c r="F47" s="44">
        <f>IF(ABS(B47-D47)&lt;1e-05,"OK","NG")</f>
        <v/>
      </c>
      <c r="G47" s="46" t="inlineStr">
        <is>
          <t>관리한계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7" t="inlineStr">
        <is>
          <t>※ 공정능력 수식 기준값 (자동 채움, 수정 가능)</t>
        </is>
      </c>
    </row>
    <row r="200">
      <c r="A200" s="48" t="inlineStr">
        <is>
          <t>USL</t>
        </is>
      </c>
      <c r="B200" s="49">
        <f>공정능력!$A$2</f>
        <v/>
      </c>
    </row>
    <row r="201">
      <c r="A201" s="48" t="inlineStr">
        <is>
          <t>LSL</t>
        </is>
      </c>
      <c r="B201" s="49">
        <f>공정능력!$B$2</f>
        <v/>
      </c>
    </row>
    <row r="202">
      <c r="A202" s="48" t="inlineStr">
        <is>
          <t>Mean</t>
        </is>
      </c>
      <c r="B202" s="49">
        <f>AVERAGE(채취표본!$M$2:$M$126)</f>
        <v/>
      </c>
    </row>
    <row r="203">
      <c r="A203" s="48" t="inlineStr">
        <is>
          <t>σ_within</t>
        </is>
      </c>
      <c r="B203" s="49">
        <f>AVERAGE(Subgroup통계!$C$2:$C$26)/2.326</f>
        <v/>
      </c>
    </row>
    <row r="204">
      <c r="A204" s="48" t="inlineStr">
        <is>
          <t>σ_overall</t>
        </is>
      </c>
      <c r="B204" s="49">
        <f>_xlfn.STDEV.S(채취표본!$M$2:$M$126)</f>
        <v/>
      </c>
    </row>
  </sheetData>
  <mergeCells count="7">
    <mergeCell ref="A13:G13"/>
    <mergeCell ref="A1:G1"/>
    <mergeCell ref="A27:G27"/>
    <mergeCell ref="A4:G4"/>
    <mergeCell ref="A2:G2"/>
    <mergeCell ref="A19:G19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3" t="inlineStr">
        <is>
          <t>SPC 및 공정능력 연구 보고서</t>
        </is>
      </c>
    </row>
    <row r="2">
      <c r="A2" s="50" t="inlineStr">
        <is>
          <t>AIAG / VDA SPC Harmonized Standard — Process Capability Study</t>
        </is>
      </c>
    </row>
    <row r="3">
      <c r="A3" s="51" t="inlineStr">
        <is>
          <t>▣ 자동 판정 요약</t>
        </is>
      </c>
    </row>
    <row r="4" ht="28" customHeight="1">
      <c r="A4" s="4" t="inlineStr">
        <is>
          <t>공정: 판정불가</t>
        </is>
      </c>
      <c r="D4" s="4" t="inlineStr">
        <is>
          <t>정규성: 비정규</t>
        </is>
      </c>
      <c r="G4" s="4" t="inlineStr">
        <is>
          <t>공정능력: 부족</t>
        </is>
      </c>
      <c r="J4" s="4" t="inlineStr">
        <is>
          <t>관리도: 불가</t>
        </is>
      </c>
    </row>
    <row r="5" ht="22" customHeight="1">
      <c r="A5" s="52" t="inlineStr">
        <is>
          <t>우선 조치: 데이터 재수집</t>
        </is>
      </c>
    </row>
    <row r="6"/>
    <row r="7">
      <c r="A7" s="53" t="inlineStr">
        <is>
          <t>1. 공정명</t>
        </is>
      </c>
      <c r="B7" s="54" t="inlineStr">
        <is>
          <t>-</t>
        </is>
      </c>
      <c r="C7" s="55" t="n"/>
      <c r="D7" s="56" t="n"/>
      <c r="F7" s="57" t="inlineStr">
        <is>
          <t>지표</t>
        </is>
      </c>
      <c r="G7" s="57" t="inlineStr">
        <is>
          <t>값</t>
        </is>
      </c>
    </row>
    <row r="8">
      <c r="A8" s="53" t="inlineStr">
        <is>
          <t>2. 설비/라인</t>
        </is>
      </c>
      <c r="B8" s="54" t="inlineStr">
        <is>
          <t>-</t>
        </is>
      </c>
      <c r="C8" s="55" t="n"/>
      <c r="D8" s="56" t="n"/>
      <c r="F8" s="53" t="inlineStr">
        <is>
          <t>USL</t>
        </is>
      </c>
      <c r="G8" s="54" t="inlineStr">
        <is>
          <t>0.6</t>
        </is>
      </c>
    </row>
    <row r="9">
      <c r="A9" s="53" t="inlineStr">
        <is>
          <t>3. 품목</t>
        </is>
      </c>
      <c r="B9" s="54" t="inlineStr">
        <is>
          <t>Stator Assys(MV후륜)</t>
        </is>
      </c>
      <c r="C9" s="55" t="n"/>
      <c r="D9" s="56" t="n"/>
      <c r="F9" s="53" t="inlineStr">
        <is>
          <t>LSL</t>
        </is>
      </c>
      <c r="G9" s="54" t="inlineStr">
        <is>
          <t>-0.6</t>
        </is>
      </c>
    </row>
    <row r="10">
      <c r="A10" s="53" t="inlineStr">
        <is>
          <t>데이터 출처</t>
        </is>
      </c>
      <c r="B10" s="54" t="inlineStr">
        <is>
          <t>검사데이터_조회_터미널단자높이_260504~0602.xlsx</t>
        </is>
      </c>
      <c r="C10" s="55" t="n"/>
      <c r="D10" s="56" t="n"/>
      <c r="F10" s="53" t="inlineStr">
        <is>
          <t>Mean</t>
        </is>
      </c>
      <c r="G10" s="54" t="inlineStr">
        <is>
          <t>-0.098000</t>
        </is>
      </c>
    </row>
    <row r="11">
      <c r="A11" s="53" t="inlineStr">
        <is>
          <t>4. 특성(검사항목)</t>
        </is>
      </c>
      <c r="B11" s="54" t="inlineStr">
        <is>
          <t>-</t>
        </is>
      </c>
      <c r="C11" s="55" t="n"/>
      <c r="D11" s="56" t="n"/>
      <c r="F11" s="53" t="inlineStr">
        <is>
          <t>Std(within)</t>
        </is>
      </c>
      <c r="G11" s="54" t="inlineStr">
        <is>
          <t>0.143422</t>
        </is>
      </c>
    </row>
    <row r="12">
      <c r="A12" s="53" t="inlineStr">
        <is>
          <t>5. USL</t>
        </is>
      </c>
      <c r="B12" s="54" t="inlineStr">
        <is>
          <t>0.6</t>
        </is>
      </c>
      <c r="C12" s="55" t="n"/>
      <c r="D12" s="56" t="n"/>
      <c r="F12" s="53" t="inlineStr">
        <is>
          <t>Std(overall)</t>
        </is>
      </c>
      <c r="G12" s="54" t="inlineStr">
        <is>
          <t>0.192614</t>
        </is>
      </c>
    </row>
    <row r="13">
      <c r="A13" s="53" t="inlineStr">
        <is>
          <t>6. LSL</t>
        </is>
      </c>
      <c r="B13" s="54" t="inlineStr">
        <is>
          <t>-0.6</t>
        </is>
      </c>
      <c r="C13" s="55" t="n"/>
      <c r="D13" s="56" t="n"/>
      <c r="F13" s="53" t="inlineStr">
        <is>
          <t>Cp</t>
        </is>
      </c>
      <c r="G13" s="54" t="inlineStr">
        <is>
          <t>1.3945</t>
        </is>
      </c>
    </row>
    <row r="14">
      <c r="A14" s="53" t="inlineStr">
        <is>
          <t>7. 표본수</t>
        </is>
      </c>
      <c r="B14" s="54" t="inlineStr">
        <is>
          <t>125</t>
        </is>
      </c>
      <c r="C14" s="55" t="n"/>
      <c r="D14" s="56" t="n"/>
      <c r="F14" s="53" t="inlineStr">
        <is>
          <t>Cpk</t>
        </is>
      </c>
      <c r="G14" s="54" t="inlineStr">
        <is>
          <t>1.1667</t>
        </is>
      </c>
    </row>
    <row r="15">
      <c r="A15" s="53" t="inlineStr">
        <is>
          <t>8. Subgroup 크기</t>
        </is>
      </c>
      <c r="B15" s="54" t="inlineStr">
        <is>
          <t>5</t>
        </is>
      </c>
      <c r="C15" s="55" t="n"/>
      <c r="D15" s="56" t="n"/>
      <c r="F15" s="53" t="inlineStr">
        <is>
          <t>Pp</t>
        </is>
      </c>
      <c r="G15" s="54" t="inlineStr">
        <is>
          <t>1.0383</t>
        </is>
      </c>
    </row>
    <row r="16">
      <c r="A16" s="53" t="inlineStr">
        <is>
          <t>9. 관리도 유형</t>
        </is>
      </c>
      <c r="B16" s="54" t="inlineStr">
        <is>
          <t>X-bar R</t>
        </is>
      </c>
      <c r="C16" s="55" t="n"/>
      <c r="D16" s="56" t="n"/>
      <c r="F16" s="53" t="inlineStr">
        <is>
          <t>Ppk</t>
        </is>
      </c>
      <c r="G16" s="54" t="inlineStr">
        <is>
          <t>0.8688</t>
        </is>
      </c>
    </row>
    <row r="17">
      <c r="A17" s="53" t="inlineStr">
        <is>
          <t>10. 분석일시</t>
        </is>
      </c>
      <c r="B17" s="54" t="inlineStr">
        <is>
          <t>2026-06-09 17:44</t>
        </is>
      </c>
      <c r="C17" s="55" t="n"/>
      <c r="D17" s="56" t="n"/>
      <c r="F17" s="53" t="inlineStr">
        <is>
          <t>예상 PPM</t>
        </is>
      </c>
      <c r="G17" s="54" t="inlineStr">
        <is>
          <t>233.06</t>
        </is>
      </c>
    </row>
    <row r="18">
      <c r="A18" s="53" t="inlineStr">
        <is>
          <t>15. 정규성 검정</t>
        </is>
      </c>
      <c r="B18" s="54" t="inlineStr">
        <is>
          <t>Shapiro-Wilk, p=0.0416</t>
        </is>
      </c>
      <c r="C18" s="55" t="n"/>
      <c r="D18" s="56" t="n"/>
      <c r="F18" s="53" t="inlineStr">
        <is>
          <t>P% &gt; USL</t>
        </is>
      </c>
      <c r="G18" s="54" t="inlineStr">
        <is>
          <t>0.0001%</t>
        </is>
      </c>
    </row>
    <row r="19">
      <c r="A19" s="53" t="inlineStr">
        <is>
          <t>16. 정규성 판정</t>
        </is>
      </c>
      <c r="B19" s="54" t="inlineStr">
        <is>
          <t>비정규</t>
        </is>
      </c>
      <c r="C19" s="55" t="n"/>
      <c r="D19" s="56" t="n"/>
      <c r="F19" s="53" t="inlineStr">
        <is>
          <t>P% &lt; LSL</t>
        </is>
      </c>
      <c r="G19" s="54" t="inlineStr">
        <is>
          <t>0.0232%</t>
        </is>
      </c>
    </row>
    <row r="20">
      <c r="A20" s="53" t="inlineStr">
        <is>
          <t>17. 관리상태</t>
        </is>
      </c>
      <c r="B20" s="54" t="inlineStr">
        <is>
          <t>관리外</t>
        </is>
      </c>
      <c r="C20" s="55" t="n"/>
      <c r="D20" s="56" t="n"/>
    </row>
    <row r="21">
      <c r="A21" s="53" t="inlineStr">
        <is>
          <t>18. 채취 방식</t>
        </is>
      </c>
      <c r="B21" s="54" t="inlineStr">
        <is>
          <t>일자·LOT·교대 블록 랜덤</t>
        </is>
      </c>
      <c r="C21" s="55" t="n"/>
      <c r="D21" s="56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8" t="inlineStr">
        <is>
          <t>20. Conclusions / Recommendations (차트별 품질 전문가 점검)</t>
        </is>
      </c>
    </row>
    <row r="60">
      <c r="A60" s="58" t="inlineStr">
        <is>
          <t>【종합 판정】
4종 차트(히스토그램·Raw·정규확률도·Xbar-R Control Chart) 통합 검토. 요약 플래그: 관리外, 비정규. 표본 n=125, 관리도=X-bar R. 아래는 차트별 주의·점검·권고입니다.
■ 11. Histogram (히스토그램)  [주의]
  ※ 주의·해석
    · 평균이 규격 중심 대비 -0.0980 이탈 — 히스토그램 피크가 USL/LSL 중 한쪽에 치우쳤는지 확인
    · Cp(1.394) 대비 Cpk(1.167) 저하 — 변동은 충분하나 평균 위치(산포 중심) 불량 신호
    · 정규성 미충족(p=0.0416) — 히스토그램의 정규 곡선 오버레이는 참고용, Pp/Ppk 해석에 주의
  ※ 점검 항목
    · USL/LSL 대비 분포 폭·위치: 규격 내 집중 vs 양끝·한쪽 쏠림
    · 정규분포 곡선 대비 실제 막대: 꼬리 두께, 다봉(혼합 공정), 절단(측정 한계·반올림)
    · 히스토그램 bin 수에 따른 형상 왜곡 여부(표본수 대비 bin 과다/과소)
    · 평균선·규격한계와 피크 위치 일치 여부(목표값 대비 편향)
  ※ 권고 조치
    · 이상 구간 LOT·교대·설비·금형 등 메타데이터와 막대 구간 교차 확인
    · 비정규·다봉 시 로그/Box-Cox 변환 또는 비정규 공정능력 지표 병행 검토
■ 12. Raw Value Chart (개별값 시계열)  [조치]
  ※ 주의·해석
    · 순번 122 부근 급격 변동(Δ=0.7600) — 셋업 변경·이상치·측정 오류 점검
    · 평균±3σ 벗어난 순번: 53 (개별값 관점 이상 후보)
    · 관리도 기준 관리外 subgroup/포인트: 5, 11, 12, 25 — Raw 차트 동일 구간 연계 확인
  ※ 점검 항목
    · 시간·순번 방향 패턴: 상승/하락/주기(사이클)·계단 변화(조건 변경)
    · 단발 스파이크 vs 연속 밴드 이탈(특별원인 vs 공통원인 후보)
    · 측정 시스템·센서·영점 드리프트, 샘플링 누락/중복
    · 관리도 OOC 시점과 Raw 차트 위치 일치 여부
  ※ 권고 조치
    · OOC·급변 순번의 작업조건·LOT·설비 이력과 교차 검증
    · 추세 지속 시 예방보전·공정 파라미터 재튜닝 후 재채취
■ 13. Normal Probability Plot (정규확률도)  [주의]
  ※ 주의·해석
    · Shapiro-Wilk p-value=0.0416 (비정규), NPP 적합 R²≈0.976
    · 검정은 비정규이나 확률도는 거의 직선 — 중앙부만 정규·꼬리 이탈(heavy tail) 가능
  ※ 점검 항목
    · S자·곡선: 왜도 / 양 끝 동시 이탈: 첨도·이상치
    · 하단·상단 꼬리만 벗어남: 측정 한계·절단·혼합 집단
    · 이론 직선 대비 체계적 곡률: 변환(로그·Box-Cox) 필요 여부
    · 히스토그램·정규성 검정 결과와 삼각 교차 확인
  ※ 권고 조치
    · 꼬리 이탈 시 Winsorize/이상치 제거 전후 p-value·공정능력 비교
    · 비정규 확정 시 Johnson/분포 피팅 또는 비모수 규격 만족률 검토
■ 14. Xbar-R Control Chart  [조치]
  ※ 주의·해석
    · Xbar(또는 I) 관리外: subgroup/point 5, 11, 12, 25 — 평균(위치) 특별원인 후보
    · R 차트 UCL 초과: 9, 11, 15, 25 — 산포·변동 증가(공구·고정·원료) 후보
  ※ 점검 항목
    · Subgroup n=5: 부군 내 연속성·동일 LOT/조건 유지 여부(채취 규칙 준수)
    · Xbar 이탈 + R/S 정상: 평균 이동(위치) / R·S 이탈 + Xbar 정상: 변동 증가 분리 해석
    · Western Electric: 3σ 초과, 2σ 구간 2/3 연속, 7연속 증가·감소, 7연속 한쪽(규칙 1~4) 육안 점검
    · R/S 하한(LCL) 근접: 측정 분해능·반올림·데이터 스택킹 의심
  ※ 권고 조치
    · OOC 발생 시점 전후 5W2H·변경점(4M1E) 기록, 조치 후 20~25 subgroup 재수집
    · R/S만 OOC면 변동원인(고정·공구·환경), Xbar만 OOC면 평균·셋업·원료 배치 원인 우선
■ 종합 우선 조치
  1. 관리도·Raw 차트 OOC 구간 원인분석 및 조치 후 재채취·재분석
  2. 비정규 분포 — NPP·히스토그램 교차 확인 후 공정능력 지표 해석·대안 검토
  3. Cpk=1.167 — 고객/내부 목표(통상 1.33) 대비 여유 확보 검토
【자동 판정 요약】
  공정상태: 판정불가
  정규성: 비정규
  공정능력: 부족
  관리용 관리도 적용: 불가
  우선 조치: 데이터 재수집
【회사 기준 판정 근거 (Decision Log)】
  · [R_CHART_FIRST] R chart unstable -&gt; mean chart interpretation deferred
  · [DEPLOY_BLOCKED] process not in stable state -&gt; operational control chart deployment not allowed
  · [NORMality_STRICT] strict_company_mode + non-normal -&gt; cause analysis, action, recollection required
  · [CAPABILITY_CENTERING] Cp&gt;=1.33 and Cpk&lt;1.33 -&gt; centering improvement recommended
  · [STAGE_CAPABILITY] stage=mass_production -&gt; CpCpk rule applied (threshold width=1.33, center=1.33)
【SPC 전문가 해석】
▶ 경영진 요약: 본 공정은 해석용 관리도 기준으로 안정상태가 확인되지 않았습니다. 특히 산포 관리도에서 이상신호가 확인되어 현재 관리한계선을 기반으로 한 현장 운영은 부적절합니다. 이 경우 평균 위치 해석보다 산포 원인 제거가 우선이며, 공정 안정화 후 재수집 데이터를 기준으로 관리한계선을 다시 설정해야 합니다. 공정 산포(폭)는 기준을 만족하나 중심 지수가 부족합니다. 산포 개선보다 규격 중심 대비 평균 위치 조정(centering)이 우선 과제입니다.
▶ 실무 해석: 이번 결과는 평균이 약간 벗어난 문제라기보다 공정 흔들림이 크다는 의미에 가깝습니다. 먼저 설비 상태, 치공구, 자재, 측정 이상 여부를 점검해 산포를 키우는 원인을 줄이는 것이 우선입니다.
▶ 정규성: 데이터가 정규분포 가정에서 벗어났습니다. 단순 p-value 판정에 그치지 말고 원인을 파악하고 조치한 뒤 데이터를 재수집하여 재분석하십시오. (검정: Shapiro-Wilk, p=0.0416, QQ: 정규확률도 직선성 양호(R²≈0.976))
▶ 공정능력: 현재 지표는 Cp/Cpk 기준 잠재 공정능력 해석이 중심입니다. 공정 산포(폭)는 기준을 만족하나 중심 지수가 부족합니다. 산포 개선보다 규격 중심 대비 평균 위치 조정(centering)이 우선 과제입니다. Cp=1.394, Cpk=1.167 (기준 Cp/Cpk≥1.33)
▶ 후속조치: 우선 조치: 데이터 재수집 → 중심 이동
【AIAG-VDA 확장 점검】
  Pre-control: X-bar 계열 운용 — Pre-control Chart는 보조 수단으로 검토
  기계성능(Cm/Cmk) 필요: 아니오
  Cm/Cmk calculation module not implemented yet.
  Pp/Ppk 기준: Pp/Ppk: 전체 변동(σ_overall, ddof=1) 기반 — 개발/선행 단계 평가에 적합
  Cp/Cpk 기준: Cp/Cpk: 관리도 기반 σ_within 추정 — 양산 단계 잠재 공정능력 평가에 적합
【리포트 완전성】
  상태: 완전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</sheetData>
  <mergeCells count="25">
    <mergeCell ref="B11:D11"/>
    <mergeCell ref="B14:D14"/>
    <mergeCell ref="B8:D8"/>
    <mergeCell ref="B17:D17"/>
    <mergeCell ref="B13:D13"/>
    <mergeCell ref="J4:L4"/>
    <mergeCell ref="A3:L3"/>
    <mergeCell ref="B10:D10"/>
    <mergeCell ref="A2:L2"/>
    <mergeCell ref="B19:D19"/>
    <mergeCell ref="D4:F4"/>
    <mergeCell ref="A5:L5"/>
    <mergeCell ref="B9:D9"/>
    <mergeCell ref="G4:I4"/>
    <mergeCell ref="B15:D15"/>
    <mergeCell ref="A4:C4"/>
    <mergeCell ref="B20:D20"/>
    <mergeCell ref="B7:D7"/>
    <mergeCell ref="B16:D16"/>
    <mergeCell ref="A59:L59"/>
    <mergeCell ref="A60:L91"/>
    <mergeCell ref="A1:L1"/>
    <mergeCell ref="B18:D18"/>
    <mergeCell ref="B21:D21"/>
    <mergeCell ref="B12:D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검정방법</t>
        </is>
      </c>
      <c r="B1" s="59" t="inlineStr">
        <is>
          <t>통계량</t>
        </is>
      </c>
      <c r="C1" s="59" t="inlineStr">
        <is>
          <t>p_value</t>
        </is>
      </c>
      <c r="D1" s="59" t="inlineStr">
        <is>
          <t>정규성_판정</t>
        </is>
      </c>
      <c r="E1" s="59" t="inlineStr">
        <is>
          <t>유의수준</t>
        </is>
      </c>
      <c r="F1" s="59" t="inlineStr">
        <is>
          <t>표본수</t>
        </is>
      </c>
    </row>
    <row r="2">
      <c r="A2" t="inlineStr">
        <is>
          <t>Shapiro-Wilk</t>
        </is>
      </c>
      <c r="B2" t="n">
        <v>0.97828</v>
      </c>
      <c r="C2" t="n">
        <v>0.041569</v>
      </c>
      <c r="D2" t="inlineStr">
        <is>
          <t>비정규</t>
        </is>
      </c>
      <c r="E2" t="n">
        <v>0.05</v>
      </c>
      <c r="F2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차트</t>
        </is>
      </c>
      <c r="B1" s="59" t="inlineStr">
        <is>
          <t>항목</t>
        </is>
      </c>
      <c r="C1" s="59" t="inlineStr">
        <is>
          <t>값</t>
        </is>
      </c>
    </row>
    <row r="2">
      <c r="A2" t="inlineStr">
        <is>
          <t>Xbar</t>
        </is>
      </c>
      <c r="B2" t="inlineStr">
        <is>
          <t>CL</t>
        </is>
      </c>
      <c r="C2" t="n">
        <v>-0.098</v>
      </c>
    </row>
    <row r="3">
      <c r="A3" t="inlineStr">
        <is>
          <t>Xbar</t>
        </is>
      </c>
      <c r="B3" t="inlineStr">
        <is>
          <t>UCL</t>
        </is>
      </c>
      <c r="C3" t="n">
        <v>0.09448719999999999</v>
      </c>
    </row>
    <row r="4">
      <c r="A4" t="inlineStr">
        <is>
          <t>Xbar</t>
        </is>
      </c>
      <c r="B4" t="inlineStr">
        <is>
          <t>LCL</t>
        </is>
      </c>
      <c r="C4" t="n">
        <v>-0.2904872</v>
      </c>
    </row>
    <row r="5">
      <c r="A5" t="inlineStr">
        <is>
          <t>R</t>
        </is>
      </c>
      <c r="B5" t="inlineStr">
        <is>
          <t>CL</t>
        </is>
      </c>
      <c r="C5" t="n">
        <v>0.3336</v>
      </c>
    </row>
    <row r="6">
      <c r="A6" t="inlineStr">
        <is>
          <t>R</t>
        </is>
      </c>
      <c r="B6" t="inlineStr">
        <is>
          <t>UCL</t>
        </is>
      </c>
      <c r="C6" t="n">
        <v>0.7055640000000001</v>
      </c>
    </row>
    <row r="7">
      <c r="A7" t="inlineStr">
        <is>
          <t>R</t>
        </is>
      </c>
      <c r="B7" t="inlineStr">
        <is>
          <t>LCL</t>
        </is>
      </c>
      <c r="C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USL</t>
        </is>
      </c>
      <c r="B1" s="59" t="inlineStr">
        <is>
          <t>LSL</t>
        </is>
      </c>
      <c r="C1" s="59" t="inlineStr">
        <is>
          <t>평균(Xbar)</t>
        </is>
      </c>
      <c r="D1" s="59" t="inlineStr">
        <is>
          <t>σ_within</t>
        </is>
      </c>
      <c r="E1" s="59" t="inlineStr">
        <is>
          <t>σ_overall</t>
        </is>
      </c>
      <c r="F1" s="59" t="inlineStr">
        <is>
          <t>Cp</t>
        </is>
      </c>
      <c r="G1" s="59" t="inlineStr">
        <is>
          <t>Cpk</t>
        </is>
      </c>
      <c r="H1" s="59" t="inlineStr">
        <is>
          <t>Pp</t>
        </is>
      </c>
      <c r="I1" s="59" t="inlineStr">
        <is>
          <t>Ppk</t>
        </is>
      </c>
      <c r="J1" s="59" t="inlineStr">
        <is>
          <t>Cpu</t>
        </is>
      </c>
      <c r="K1" s="59" t="inlineStr">
        <is>
          <t>Cpl</t>
        </is>
      </c>
      <c r="L1" s="59" t="inlineStr">
        <is>
          <t>예상PPM</t>
        </is>
      </c>
    </row>
    <row r="2">
      <c r="A2" t="n">
        <v>0.6</v>
      </c>
      <c r="B2" t="n">
        <v>-0.6</v>
      </c>
      <c r="C2" t="n">
        <v>-0.098</v>
      </c>
      <c r="D2" t="n">
        <v>0.143422</v>
      </c>
      <c r="E2" t="n">
        <v>0.192614</v>
      </c>
      <c r="F2" t="n">
        <v>1.3945</v>
      </c>
      <c r="G2" t="n">
        <v>1.1667</v>
      </c>
      <c r="H2" t="n">
        <v>1.0383</v>
      </c>
      <c r="I2" t="n">
        <v>0.8688</v>
      </c>
      <c r="J2" t="n">
        <v>1.6223</v>
      </c>
      <c r="K2" t="n">
        <v>1.1667</v>
      </c>
      <c r="L2" t="n">
        <v>233.06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subgroup</t>
        </is>
      </c>
      <c r="B1" s="59" t="inlineStr">
        <is>
          <t>Xbar</t>
        </is>
      </c>
      <c r="C1" s="59" t="inlineStr">
        <is>
          <t>R</t>
        </is>
      </c>
    </row>
    <row r="2">
      <c r="A2" t="n">
        <v>1</v>
      </c>
      <c r="B2" t="n">
        <v>-0.138</v>
      </c>
      <c r="C2" t="n">
        <v>0.14</v>
      </c>
    </row>
    <row r="3">
      <c r="A3" t="n">
        <v>2</v>
      </c>
      <c r="B3" t="n">
        <v>-0.014</v>
      </c>
      <c r="C3" t="n">
        <v>0.25</v>
      </c>
    </row>
    <row r="4">
      <c r="A4" t="n">
        <v>3</v>
      </c>
      <c r="B4" t="n">
        <v>-0.176</v>
      </c>
      <c r="C4" t="n">
        <v>0.35</v>
      </c>
    </row>
    <row r="5">
      <c r="A5" t="n">
        <v>4</v>
      </c>
      <c r="B5" t="n">
        <v>-0.17</v>
      </c>
      <c r="C5" t="n">
        <v>0.31</v>
      </c>
    </row>
    <row r="6">
      <c r="A6" t="n">
        <v>5</v>
      </c>
      <c r="B6" t="n">
        <v>-0.338</v>
      </c>
      <c r="C6" t="n">
        <v>0.09999999999999998</v>
      </c>
    </row>
    <row r="7">
      <c r="A7" t="n">
        <v>6</v>
      </c>
      <c r="B7" t="n">
        <v>-0.17</v>
      </c>
      <c r="C7" t="n">
        <v>0.14</v>
      </c>
    </row>
    <row r="8">
      <c r="A8" t="n">
        <v>7</v>
      </c>
      <c r="B8" t="n">
        <v>-0.018</v>
      </c>
      <c r="C8" t="n">
        <v>0.37</v>
      </c>
    </row>
    <row r="9">
      <c r="A9" t="n">
        <v>8</v>
      </c>
      <c r="B9" t="n">
        <v>-0.128</v>
      </c>
      <c r="C9" t="n">
        <v>0.1</v>
      </c>
    </row>
    <row r="10">
      <c r="A10" t="n">
        <v>9</v>
      </c>
      <c r="B10" t="n">
        <v>-0.03600000000000001</v>
      </c>
      <c r="C10" t="n">
        <v>0.8400000000000001</v>
      </c>
    </row>
    <row r="11">
      <c r="A11" t="n">
        <v>10</v>
      </c>
      <c r="B11" t="n">
        <v>-0.172</v>
      </c>
      <c r="C11" t="n">
        <v>0.24</v>
      </c>
    </row>
    <row r="12">
      <c r="A12" t="n">
        <v>11</v>
      </c>
      <c r="B12" t="n">
        <v>0.09800000000000002</v>
      </c>
      <c r="C12" t="n">
        <v>0.79</v>
      </c>
    </row>
    <row r="13">
      <c r="A13" t="n">
        <v>12</v>
      </c>
      <c r="B13" t="n">
        <v>-0.344</v>
      </c>
      <c r="C13" t="n">
        <v>0.35</v>
      </c>
    </row>
    <row r="14">
      <c r="A14" t="n">
        <v>13</v>
      </c>
      <c r="B14" t="n">
        <v>-0.136</v>
      </c>
      <c r="C14" t="n">
        <v>0.37</v>
      </c>
    </row>
    <row r="15">
      <c r="A15" t="n">
        <v>14</v>
      </c>
      <c r="B15" t="n">
        <v>0.05800000000000001</v>
      </c>
      <c r="C15" t="n">
        <v>0.33</v>
      </c>
    </row>
    <row r="16">
      <c r="A16" t="n">
        <v>15</v>
      </c>
      <c r="B16" t="n">
        <v>0.05599999999999998</v>
      </c>
      <c r="C16" t="n">
        <v>0.72</v>
      </c>
    </row>
    <row r="17">
      <c r="A17" t="n">
        <v>16</v>
      </c>
      <c r="B17" t="n">
        <v>-0.034</v>
      </c>
      <c r="C17" t="n">
        <v>0.28</v>
      </c>
    </row>
    <row r="18">
      <c r="A18" t="n">
        <v>17</v>
      </c>
      <c r="B18" t="n">
        <v>-0.06000000000000001</v>
      </c>
      <c r="C18" t="n">
        <v>0.2</v>
      </c>
    </row>
    <row r="19">
      <c r="A19" t="n">
        <v>18</v>
      </c>
      <c r="B19" t="n">
        <v>-0.04</v>
      </c>
      <c r="C19" t="n">
        <v>0.32</v>
      </c>
    </row>
    <row r="20">
      <c r="A20" t="n">
        <v>19</v>
      </c>
      <c r="B20" t="n">
        <v>-0.154</v>
      </c>
      <c r="C20" t="n">
        <v>0.24</v>
      </c>
    </row>
    <row r="21">
      <c r="A21" t="n">
        <v>20</v>
      </c>
      <c r="B21" t="n">
        <v>-0.244</v>
      </c>
      <c r="C21" t="n">
        <v>0.27</v>
      </c>
    </row>
    <row r="22">
      <c r="A22" t="n">
        <v>21</v>
      </c>
      <c r="B22" t="n">
        <v>-0.204</v>
      </c>
      <c r="C22" t="n">
        <v>0.18</v>
      </c>
    </row>
    <row r="23">
      <c r="A23" t="n">
        <v>22</v>
      </c>
      <c r="B23" t="n">
        <v>0.036</v>
      </c>
      <c r="C23" t="n">
        <v>0.19</v>
      </c>
    </row>
    <row r="24">
      <c r="A24" t="n">
        <v>23</v>
      </c>
      <c r="B24" t="n">
        <v>-0.032</v>
      </c>
      <c r="C24" t="n">
        <v>0.39</v>
      </c>
    </row>
    <row r="25">
      <c r="A25" t="n">
        <v>24</v>
      </c>
      <c r="B25" t="n">
        <v>-0.248</v>
      </c>
      <c r="C25" t="n">
        <v>0.11</v>
      </c>
    </row>
    <row r="26">
      <c r="A26" t="n">
        <v>25</v>
      </c>
      <c r="B26" t="n">
        <v>0.158</v>
      </c>
      <c r="C26" t="n">
        <v>0.76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라인 코드</t>
        </is>
      </c>
      <c r="B1" s="59" t="inlineStr">
        <is>
          <t>공정 코드</t>
        </is>
      </c>
      <c r="C1" s="59" t="inlineStr">
        <is>
          <t>process</t>
        </is>
      </c>
      <c r="D1" s="59" t="inlineStr">
        <is>
          <t>설비 코드</t>
        </is>
      </c>
      <c r="E1" s="59" t="inlineStr">
        <is>
          <t>품번</t>
        </is>
      </c>
      <c r="F1" s="59" t="inlineStr">
        <is>
          <t>item</t>
        </is>
      </c>
      <c r="G1" s="59" t="inlineStr">
        <is>
          <t>lot</t>
        </is>
      </c>
      <c r="H1" s="59" t="inlineStr">
        <is>
          <t>최종 판정</t>
        </is>
      </c>
      <c r="I1" s="59" t="inlineStr">
        <is>
          <t>timestamp</t>
        </is>
      </c>
      <c r="J1" s="59" t="inlineStr">
        <is>
          <t>검사 항목 순번</t>
        </is>
      </c>
      <c r="K1" s="59" t="inlineStr">
        <is>
          <t>characteristic</t>
        </is>
      </c>
      <c r="L1" s="59" t="inlineStr">
        <is>
          <t>스펙 체크 유형</t>
        </is>
      </c>
      <c r="M1" s="59" t="inlineStr">
        <is>
          <t>value</t>
        </is>
      </c>
      <c r="N1" s="59" t="inlineStr">
        <is>
          <t>target</t>
        </is>
      </c>
      <c r="O1" s="59" t="inlineStr">
        <is>
          <t>lsl</t>
        </is>
      </c>
      <c r="P1" s="59" t="inlineStr">
        <is>
          <t>usl</t>
        </is>
      </c>
      <c r="Q1" s="59" t="inlineStr">
        <is>
          <t>검사 단위</t>
        </is>
      </c>
      <c r="R1" s="59" t="inlineStr">
        <is>
          <t>항목별 검사결과</t>
        </is>
      </c>
      <c r="S1" s="59" t="inlineStr">
        <is>
          <t>source</t>
        </is>
      </c>
      <c r="T1" s="59" t="inlineStr">
        <is>
          <t>subgroup_id</t>
        </is>
      </c>
      <c r="U1" s="59" t="inlineStr">
        <is>
          <t>sampling_block</t>
        </is>
      </c>
      <c r="V1" s="59" t="inlineStr">
        <is>
          <t>sampling_date</t>
        </is>
      </c>
      <c r="W1" s="59" t="inlineStr">
        <is>
          <t>sampling_strategy</t>
        </is>
      </c>
    </row>
    <row r="2">
      <c r="A2" t="inlineStr">
        <is>
          <t>ST01</t>
        </is>
      </c>
      <c r="B2" t="inlineStr">
        <is>
          <t>ST140</t>
        </is>
      </c>
      <c r="C2" t="inlineStr">
        <is>
          <t>터미널 높이 검사</t>
        </is>
      </c>
      <c r="D2" t="inlineStr">
        <is>
          <t>ST01-140-01</t>
        </is>
      </c>
      <c r="E2" t="inlineStr">
        <is>
          <t>365301XFB0</t>
        </is>
      </c>
      <c r="F2" t="inlineStr">
        <is>
          <t>Stator Assys(MV후륜)</t>
        </is>
      </c>
      <c r="G2" t="inlineStr">
        <is>
          <t>365301XFB0,SFZOT5T0054</t>
        </is>
      </c>
      <c r="H2" t="inlineStr">
        <is>
          <t>OK</t>
        </is>
      </c>
      <c r="I2" s="60" t="n">
        <v>46169.31653935185</v>
      </c>
      <c r="J2" t="n">
        <v>1</v>
      </c>
      <c r="K2" t="inlineStr">
        <is>
          <t>높이 측정 데이터#1</t>
        </is>
      </c>
      <c r="L2" t="inlineStr">
        <is>
          <t>T</t>
        </is>
      </c>
      <c r="M2" t="n">
        <v>-0.18</v>
      </c>
      <c r="R2" t="inlineStr">
        <is>
          <t>OK</t>
        </is>
      </c>
      <c r="S2" t="inlineStr">
        <is>
          <t>검사데이터_조회_터미널단자높이_260504~0602</t>
        </is>
      </c>
      <c r="T2" t="n">
        <v>1</v>
      </c>
      <c r="U2" t="inlineStr">
        <is>
          <t>2026-05-27|야간|LOT=365301XFB0,SFZOT5T0054</t>
        </is>
      </c>
      <c r="V2" t="inlineStr">
        <is>
          <t>2026-05-27</t>
        </is>
      </c>
      <c r="W2" t="inlineStr">
        <is>
          <t>date_block</t>
        </is>
      </c>
    </row>
    <row r="3">
      <c r="A3" t="inlineStr">
        <is>
          <t>ST01</t>
        </is>
      </c>
      <c r="B3" t="inlineStr">
        <is>
          <t>ST140</t>
        </is>
      </c>
      <c r="C3" t="inlineStr">
        <is>
          <t>터미널 높이 검사</t>
        </is>
      </c>
      <c r="D3" t="inlineStr">
        <is>
          <t>ST01-140-01</t>
        </is>
      </c>
      <c r="E3" t="inlineStr">
        <is>
          <t>365301XFB0</t>
        </is>
      </c>
      <c r="F3" t="inlineStr">
        <is>
          <t>Stator Assys(MV후륜)</t>
        </is>
      </c>
      <c r="G3" t="inlineStr">
        <is>
          <t>365301XFB0,SFZOT5T0054</t>
        </is>
      </c>
      <c r="H3" t="inlineStr">
        <is>
          <t>OK</t>
        </is>
      </c>
      <c r="I3" s="60" t="n">
        <v>46169.31653935185</v>
      </c>
      <c r="J3" t="n">
        <v>2</v>
      </c>
      <c r="K3" t="inlineStr">
        <is>
          <t>높이 측정 데이터#2</t>
        </is>
      </c>
      <c r="L3" t="inlineStr">
        <is>
          <t>T</t>
        </is>
      </c>
      <c r="M3" t="n">
        <v>-0.05</v>
      </c>
      <c r="R3" t="inlineStr">
        <is>
          <t>OK</t>
        </is>
      </c>
      <c r="S3" t="inlineStr">
        <is>
          <t>검사데이터_조회_터미널단자높이_260504~0602</t>
        </is>
      </c>
      <c r="T3" t="n">
        <v>1</v>
      </c>
      <c r="U3" t="inlineStr">
        <is>
          <t>2026-05-27|야간|LOT=365301XFB0,SFZOT5T0054</t>
        </is>
      </c>
      <c r="V3" t="inlineStr">
        <is>
          <t>2026-05-27</t>
        </is>
      </c>
      <c r="W3" t="inlineStr">
        <is>
          <t>date_block</t>
        </is>
      </c>
    </row>
    <row r="4">
      <c r="A4" t="inlineStr">
        <is>
          <t>ST01</t>
        </is>
      </c>
      <c r="B4" t="inlineStr">
        <is>
          <t>ST140</t>
        </is>
      </c>
      <c r="C4" t="inlineStr">
        <is>
          <t>터미널 높이 검사</t>
        </is>
      </c>
      <c r="D4" t="inlineStr">
        <is>
          <t>ST01-140-01</t>
        </is>
      </c>
      <c r="E4" t="inlineStr">
        <is>
          <t>365301XFB0</t>
        </is>
      </c>
      <c r="F4" t="inlineStr">
        <is>
          <t>Stator Assys(MV후륜)</t>
        </is>
      </c>
      <c r="G4" t="inlineStr">
        <is>
          <t>365301XFB0,SFZOT5T0054</t>
        </is>
      </c>
      <c r="H4" t="inlineStr">
        <is>
          <t>OK</t>
        </is>
      </c>
      <c r="I4" s="60" t="n">
        <v>46169.31653935185</v>
      </c>
      <c r="J4" t="n">
        <v>3</v>
      </c>
      <c r="K4" t="inlineStr">
        <is>
          <t>높이 측정 데이터#3</t>
        </is>
      </c>
      <c r="L4" t="inlineStr">
        <is>
          <t>T</t>
        </is>
      </c>
      <c r="M4" t="n">
        <v>-0.16</v>
      </c>
      <c r="R4" t="inlineStr">
        <is>
          <t>OK</t>
        </is>
      </c>
      <c r="S4" t="inlineStr">
        <is>
          <t>검사데이터_조회_터미널단자높이_260504~0602</t>
        </is>
      </c>
      <c r="T4" t="n">
        <v>1</v>
      </c>
      <c r="U4" t="inlineStr">
        <is>
          <t>2026-05-27|야간|LOT=365301XFB0,SFZOT5T0054</t>
        </is>
      </c>
      <c r="V4" t="inlineStr">
        <is>
          <t>2026-05-27</t>
        </is>
      </c>
      <c r="W4" t="inlineStr">
        <is>
          <t>date_block</t>
        </is>
      </c>
    </row>
    <row r="5">
      <c r="A5" t="inlineStr">
        <is>
          <t>ST01</t>
        </is>
      </c>
      <c r="B5" t="inlineStr">
        <is>
          <t>ST140</t>
        </is>
      </c>
      <c r="C5" t="inlineStr">
        <is>
          <t>터미널 높이 검사</t>
        </is>
      </c>
      <c r="D5" t="inlineStr">
        <is>
          <t>ST01-140-01</t>
        </is>
      </c>
      <c r="E5" t="inlineStr">
        <is>
          <t>365301XFB0</t>
        </is>
      </c>
      <c r="F5" t="inlineStr">
        <is>
          <t>Stator Assys(MV후륜)</t>
        </is>
      </c>
      <c r="G5" t="inlineStr">
        <is>
          <t>365301XFB0,SFZOT5T0054</t>
        </is>
      </c>
      <c r="H5" t="inlineStr">
        <is>
          <t>OK</t>
        </is>
      </c>
      <c r="I5" s="60" t="n">
        <v>46169.31653935185</v>
      </c>
      <c r="J5" t="n">
        <v>4</v>
      </c>
      <c r="K5" t="inlineStr">
        <is>
          <t>높이 측정 데이터#4</t>
        </is>
      </c>
      <c r="L5" t="inlineStr">
        <is>
          <t>T</t>
        </is>
      </c>
      <c r="M5" t="n">
        <v>-0.19</v>
      </c>
      <c r="R5" t="inlineStr">
        <is>
          <t>OK</t>
        </is>
      </c>
      <c r="S5" t="inlineStr">
        <is>
          <t>검사데이터_조회_터미널단자높이_260504~0602</t>
        </is>
      </c>
      <c r="T5" t="n">
        <v>1</v>
      </c>
      <c r="U5" t="inlineStr">
        <is>
          <t>2026-05-27|야간|LOT=365301XFB0,SFZOT5T0054</t>
        </is>
      </c>
      <c r="V5" t="inlineStr">
        <is>
          <t>2026-05-27</t>
        </is>
      </c>
      <c r="W5" t="inlineStr">
        <is>
          <t>date_block</t>
        </is>
      </c>
    </row>
    <row r="6">
      <c r="A6" t="inlineStr">
        <is>
          <t>ST01</t>
        </is>
      </c>
      <c r="B6" t="inlineStr">
        <is>
          <t>ST140</t>
        </is>
      </c>
      <c r="C6" t="inlineStr">
        <is>
          <t>터미널 높이 검사</t>
        </is>
      </c>
      <c r="D6" t="inlineStr">
        <is>
          <t>ST01-140-01</t>
        </is>
      </c>
      <c r="E6" t="inlineStr">
        <is>
          <t>365301XFB0</t>
        </is>
      </c>
      <c r="F6" t="inlineStr">
        <is>
          <t>Stator Assys(MV후륜)</t>
        </is>
      </c>
      <c r="G6" t="inlineStr">
        <is>
          <t>365301XFB0,SFZOT5T0054</t>
        </is>
      </c>
      <c r="H6" t="inlineStr">
        <is>
          <t>OK</t>
        </is>
      </c>
      <c r="I6" s="60" t="n">
        <v>46169.31653935185</v>
      </c>
      <c r="J6" t="n">
        <v>5</v>
      </c>
      <c r="K6" t="inlineStr">
        <is>
          <t>높이 측정 데이터#5</t>
        </is>
      </c>
      <c r="L6" t="inlineStr">
        <is>
          <t>T</t>
        </is>
      </c>
      <c r="M6" t="n">
        <v>-0.11</v>
      </c>
      <c r="R6" t="inlineStr">
        <is>
          <t>OK</t>
        </is>
      </c>
      <c r="S6" t="inlineStr">
        <is>
          <t>검사데이터_조회_터미널단자높이_260504~0602</t>
        </is>
      </c>
      <c r="T6" t="n">
        <v>1</v>
      </c>
      <c r="U6" t="inlineStr">
        <is>
          <t>2026-05-27|야간|LOT=365301XFB0,SFZOT5T0054</t>
        </is>
      </c>
      <c r="V6" t="inlineStr">
        <is>
          <t>2026-05-27</t>
        </is>
      </c>
      <c r="W6" t="inlineStr">
        <is>
          <t>date_block</t>
        </is>
      </c>
    </row>
    <row r="7">
      <c r="A7" t="inlineStr">
        <is>
          <t>ST01</t>
        </is>
      </c>
      <c r="B7" t="inlineStr">
        <is>
          <t>ST140</t>
        </is>
      </c>
      <c r="C7" t="inlineStr">
        <is>
          <t>터미널 높이 검사</t>
        </is>
      </c>
      <c r="D7" t="inlineStr">
        <is>
          <t>ST01-140-01</t>
        </is>
      </c>
      <c r="E7" t="inlineStr">
        <is>
          <t>365301XFB0</t>
        </is>
      </c>
      <c r="F7" t="inlineStr">
        <is>
          <t>Stator Assys(MV후륜)</t>
        </is>
      </c>
      <c r="G7" t="inlineStr">
        <is>
          <t>365301XFB0,SFZOT610092</t>
        </is>
      </c>
      <c r="H7" t="inlineStr">
        <is>
          <t>OK</t>
        </is>
      </c>
      <c r="I7" s="60" t="n">
        <v>46175.37319444444</v>
      </c>
      <c r="J7" t="n">
        <v>1</v>
      </c>
      <c r="K7" t="inlineStr">
        <is>
          <t>높이 측정 데이터#1</t>
        </is>
      </c>
      <c r="L7" t="inlineStr">
        <is>
          <t>T</t>
        </is>
      </c>
      <c r="M7" t="n">
        <v>-0.19</v>
      </c>
      <c r="R7" t="inlineStr">
        <is>
          <t>OK</t>
        </is>
      </c>
      <c r="S7" t="inlineStr">
        <is>
          <t>검사데이터_조회_터미널단자높이_260504~0602</t>
        </is>
      </c>
      <c r="T7" t="n">
        <v>2</v>
      </c>
      <c r="U7" t="inlineStr">
        <is>
          <t>2026-06-02|주간|LOT=365301XFB0,SFZOT610092</t>
        </is>
      </c>
      <c r="V7" t="inlineStr">
        <is>
          <t>2026-06-02</t>
        </is>
      </c>
      <c r="W7" t="inlineStr">
        <is>
          <t>date_block</t>
        </is>
      </c>
    </row>
    <row r="8">
      <c r="A8" t="inlineStr">
        <is>
          <t>ST01</t>
        </is>
      </c>
      <c r="B8" t="inlineStr">
        <is>
          <t>ST140</t>
        </is>
      </c>
      <c r="C8" t="inlineStr">
        <is>
          <t>터미널 높이 검사</t>
        </is>
      </c>
      <c r="D8" t="inlineStr">
        <is>
          <t>ST01-140-01</t>
        </is>
      </c>
      <c r="E8" t="inlineStr">
        <is>
          <t>365301XFB0</t>
        </is>
      </c>
      <c r="F8" t="inlineStr">
        <is>
          <t>Stator Assys(MV후륜)</t>
        </is>
      </c>
      <c r="G8" t="inlineStr">
        <is>
          <t>365301XFB0,SFZOT610092</t>
        </is>
      </c>
      <c r="H8" t="inlineStr">
        <is>
          <t>OK</t>
        </is>
      </c>
      <c r="I8" s="60" t="n">
        <v>46175.37319444444</v>
      </c>
      <c r="J8" t="n">
        <v>2</v>
      </c>
      <c r="K8" t="inlineStr">
        <is>
          <t>높이 측정 데이터#2</t>
        </is>
      </c>
      <c r="L8" t="inlineStr">
        <is>
          <t>T</t>
        </is>
      </c>
      <c r="M8" t="n">
        <v>-0.03</v>
      </c>
      <c r="R8" t="inlineStr">
        <is>
          <t>OK</t>
        </is>
      </c>
      <c r="S8" t="inlineStr">
        <is>
          <t>검사데이터_조회_터미널단자높이_260504~0602</t>
        </is>
      </c>
      <c r="T8" t="n">
        <v>2</v>
      </c>
      <c r="U8" t="inlineStr">
        <is>
          <t>2026-06-02|주간|LOT=365301XFB0,SFZOT610092</t>
        </is>
      </c>
      <c r="V8" t="inlineStr">
        <is>
          <t>2026-06-02</t>
        </is>
      </c>
      <c r="W8" t="inlineStr">
        <is>
          <t>date_block</t>
        </is>
      </c>
    </row>
    <row r="9">
      <c r="A9" t="inlineStr">
        <is>
          <t>ST01</t>
        </is>
      </c>
      <c r="B9" t="inlineStr">
        <is>
          <t>ST140</t>
        </is>
      </c>
      <c r="C9" t="inlineStr">
        <is>
          <t>터미널 높이 검사</t>
        </is>
      </c>
      <c r="D9" t="inlineStr">
        <is>
          <t>ST01-140-01</t>
        </is>
      </c>
      <c r="E9" t="inlineStr">
        <is>
          <t>365301XFB0</t>
        </is>
      </c>
      <c r="F9" t="inlineStr">
        <is>
          <t>Stator Assys(MV후륜)</t>
        </is>
      </c>
      <c r="G9" t="inlineStr">
        <is>
          <t>365301XFB0,SFZOT610092</t>
        </is>
      </c>
      <c r="H9" t="inlineStr">
        <is>
          <t>OK</t>
        </is>
      </c>
      <c r="I9" s="60" t="n">
        <v>46175.37319444444</v>
      </c>
      <c r="J9" t="n">
        <v>3</v>
      </c>
      <c r="K9" t="inlineStr">
        <is>
          <t>높이 측정 데이터#3</t>
        </is>
      </c>
      <c r="L9" t="inlineStr">
        <is>
          <t>T</t>
        </is>
      </c>
      <c r="M9" t="n">
        <v>0.04</v>
      </c>
      <c r="R9" t="inlineStr">
        <is>
          <t>OK</t>
        </is>
      </c>
      <c r="S9" t="inlineStr">
        <is>
          <t>검사데이터_조회_터미널단자높이_260504~0602</t>
        </is>
      </c>
      <c r="T9" t="n">
        <v>2</v>
      </c>
      <c r="U9" t="inlineStr">
        <is>
          <t>2026-06-02|주간|LOT=365301XFB0,SFZOT610092</t>
        </is>
      </c>
      <c r="V9" t="inlineStr">
        <is>
          <t>2026-06-02</t>
        </is>
      </c>
      <c r="W9" t="inlineStr">
        <is>
          <t>date_block</t>
        </is>
      </c>
    </row>
    <row r="10">
      <c r="A10" t="inlineStr">
        <is>
          <t>ST01</t>
        </is>
      </c>
      <c r="B10" t="inlineStr">
        <is>
          <t>ST140</t>
        </is>
      </c>
      <c r="C10" t="inlineStr">
        <is>
          <t>터미널 높이 검사</t>
        </is>
      </c>
      <c r="D10" t="inlineStr">
        <is>
          <t>ST01-140-01</t>
        </is>
      </c>
      <c r="E10" t="inlineStr">
        <is>
          <t>365301XFB0</t>
        </is>
      </c>
      <c r="F10" t="inlineStr">
        <is>
          <t>Stator Assys(MV후륜)</t>
        </is>
      </c>
      <c r="G10" t="inlineStr">
        <is>
          <t>365301XFB0,SFZOT610092</t>
        </is>
      </c>
      <c r="H10" t="inlineStr">
        <is>
          <t>OK</t>
        </is>
      </c>
      <c r="I10" s="60" t="n">
        <v>46175.37319444444</v>
      </c>
      <c r="J10" t="n">
        <v>4</v>
      </c>
      <c r="K10" t="inlineStr">
        <is>
          <t>높이 측정 데이터#4</t>
        </is>
      </c>
      <c r="L10" t="inlineStr">
        <is>
          <t>T</t>
        </is>
      </c>
      <c r="M10" t="n">
        <v>0.05</v>
      </c>
      <c r="R10" t="inlineStr">
        <is>
          <t>OK</t>
        </is>
      </c>
      <c r="S10" t="inlineStr">
        <is>
          <t>검사데이터_조회_터미널단자높이_260504~0602</t>
        </is>
      </c>
      <c r="T10" t="n">
        <v>2</v>
      </c>
      <c r="U10" t="inlineStr">
        <is>
          <t>2026-06-02|주간|LOT=365301XFB0,SFZOT610092</t>
        </is>
      </c>
      <c r="V10" t="inlineStr">
        <is>
          <t>2026-06-02</t>
        </is>
      </c>
      <c r="W10" t="inlineStr">
        <is>
          <t>date_block</t>
        </is>
      </c>
    </row>
    <row r="11">
      <c r="A11" t="inlineStr">
        <is>
          <t>ST01</t>
        </is>
      </c>
      <c r="B11" t="inlineStr">
        <is>
          <t>ST140</t>
        </is>
      </c>
      <c r="C11" t="inlineStr">
        <is>
          <t>터미널 높이 검사</t>
        </is>
      </c>
      <c r="D11" t="inlineStr">
        <is>
          <t>ST01-140-01</t>
        </is>
      </c>
      <c r="E11" t="inlineStr">
        <is>
          <t>365301XFB0</t>
        </is>
      </c>
      <c r="F11" t="inlineStr">
        <is>
          <t>Stator Assys(MV후륜)</t>
        </is>
      </c>
      <c r="G11" t="inlineStr">
        <is>
          <t>365301XFB0,SFZOT610092</t>
        </is>
      </c>
      <c r="H11" t="inlineStr">
        <is>
          <t>OK</t>
        </is>
      </c>
      <c r="I11" s="60" t="n">
        <v>46175.37319444444</v>
      </c>
      <c r="J11" t="n">
        <v>5</v>
      </c>
      <c r="K11" t="inlineStr">
        <is>
          <t>높이 측정 데이터#5</t>
        </is>
      </c>
      <c r="L11" t="inlineStr">
        <is>
          <t>T</t>
        </is>
      </c>
      <c r="M11" t="n">
        <v>0.06</v>
      </c>
      <c r="R11" t="inlineStr">
        <is>
          <t>OK</t>
        </is>
      </c>
      <c r="S11" t="inlineStr">
        <is>
          <t>검사데이터_조회_터미널단자높이_260504~0602</t>
        </is>
      </c>
      <c r="T11" t="n">
        <v>2</v>
      </c>
      <c r="U11" t="inlineStr">
        <is>
          <t>2026-06-02|주간|LOT=365301XFB0,SFZOT610092</t>
        </is>
      </c>
      <c r="V11" t="inlineStr">
        <is>
          <t>2026-06-02</t>
        </is>
      </c>
      <c r="W11" t="inlineStr">
        <is>
          <t>date_block</t>
        </is>
      </c>
    </row>
    <row r="12">
      <c r="A12" t="inlineStr">
        <is>
          <t>ST01</t>
        </is>
      </c>
      <c r="B12" t="inlineStr">
        <is>
          <t>ST140</t>
        </is>
      </c>
      <c r="C12" t="inlineStr">
        <is>
          <t>터미널 높이 검사</t>
        </is>
      </c>
      <c r="D12" t="inlineStr">
        <is>
          <t>ST01-140-01</t>
        </is>
      </c>
      <c r="E12" t="inlineStr">
        <is>
          <t>365301XFB0</t>
        </is>
      </c>
      <c r="F12" t="inlineStr">
        <is>
          <t>Stator Assys(MV후륜)</t>
        </is>
      </c>
      <c r="G12" t="inlineStr">
        <is>
          <t>365301XFB0,SFZOT5S0149</t>
        </is>
      </c>
      <c r="H12" t="inlineStr">
        <is>
          <t>OK</t>
        </is>
      </c>
      <c r="I12" s="60" t="n">
        <v>46168.47313657407</v>
      </c>
      <c r="J12" t="n">
        <v>1</v>
      </c>
      <c r="K12" t="inlineStr">
        <is>
          <t>높이 측정 데이터#1</t>
        </is>
      </c>
      <c r="L12" t="inlineStr">
        <is>
          <t>T</t>
        </is>
      </c>
      <c r="M12" t="n">
        <v>-0.18</v>
      </c>
      <c r="R12" t="inlineStr">
        <is>
          <t>OK</t>
        </is>
      </c>
      <c r="S12" t="inlineStr">
        <is>
          <t>검사데이터_조회_터미널단자높이_260504~0602</t>
        </is>
      </c>
      <c r="T12" t="n">
        <v>3</v>
      </c>
      <c r="U12" t="inlineStr">
        <is>
          <t>2026-05-26|주간|LOT=365301XFB0,SFZOT5S0149</t>
        </is>
      </c>
      <c r="V12" t="inlineStr">
        <is>
          <t>2026-05-26</t>
        </is>
      </c>
      <c r="W12" t="inlineStr">
        <is>
          <t>date_block</t>
        </is>
      </c>
    </row>
    <row r="13">
      <c r="A13" t="inlineStr">
        <is>
          <t>ST01</t>
        </is>
      </c>
      <c r="B13" t="inlineStr">
        <is>
          <t>ST140</t>
        </is>
      </c>
      <c r="C13" t="inlineStr">
        <is>
          <t>터미널 높이 검사</t>
        </is>
      </c>
      <c r="D13" t="inlineStr">
        <is>
          <t>ST01-140-01</t>
        </is>
      </c>
      <c r="E13" t="inlineStr">
        <is>
          <t>365301XFB0</t>
        </is>
      </c>
      <c r="F13" t="inlineStr">
        <is>
          <t>Stator Assys(MV후륜)</t>
        </is>
      </c>
      <c r="G13" t="inlineStr">
        <is>
          <t>365301XFB0,SFZOT5S0149</t>
        </is>
      </c>
      <c r="H13" t="inlineStr">
        <is>
          <t>OK</t>
        </is>
      </c>
      <c r="I13" s="60" t="n">
        <v>46168.47313657407</v>
      </c>
      <c r="J13" t="n">
        <v>2</v>
      </c>
      <c r="K13" t="inlineStr">
        <is>
          <t>높이 측정 데이터#2</t>
        </is>
      </c>
      <c r="L13" t="inlineStr">
        <is>
          <t>T</t>
        </is>
      </c>
      <c r="M13" t="n">
        <v>-0.06</v>
      </c>
      <c r="R13" t="inlineStr">
        <is>
          <t>OK</t>
        </is>
      </c>
      <c r="S13" t="inlineStr">
        <is>
          <t>검사데이터_조회_터미널단자높이_260504~0602</t>
        </is>
      </c>
      <c r="T13" t="n">
        <v>3</v>
      </c>
      <c r="U13" t="inlineStr">
        <is>
          <t>2026-05-26|주간|LOT=365301XFB0,SFZOT5S0149</t>
        </is>
      </c>
      <c r="V13" t="inlineStr">
        <is>
          <t>2026-05-26</t>
        </is>
      </c>
      <c r="W13" t="inlineStr">
        <is>
          <t>date_block</t>
        </is>
      </c>
    </row>
    <row r="14">
      <c r="A14" t="inlineStr">
        <is>
          <t>ST01</t>
        </is>
      </c>
      <c r="B14" t="inlineStr">
        <is>
          <t>ST140</t>
        </is>
      </c>
      <c r="C14" t="inlineStr">
        <is>
          <t>터미널 높이 검사</t>
        </is>
      </c>
      <c r="D14" t="inlineStr">
        <is>
          <t>ST01-140-01</t>
        </is>
      </c>
      <c r="E14" t="inlineStr">
        <is>
          <t>365301XFB0</t>
        </is>
      </c>
      <c r="F14" t="inlineStr">
        <is>
          <t>Stator Assys(MV후륜)</t>
        </is>
      </c>
      <c r="G14" t="inlineStr">
        <is>
          <t>365301XFB0,SFZOT5S0149</t>
        </is>
      </c>
      <c r="H14" t="inlineStr">
        <is>
          <t>OK</t>
        </is>
      </c>
      <c r="I14" s="60" t="n">
        <v>46168.47313657407</v>
      </c>
      <c r="J14" t="n">
        <v>3</v>
      </c>
      <c r="K14" t="inlineStr">
        <is>
          <t>높이 측정 데이터#3</t>
        </is>
      </c>
      <c r="L14" t="inlineStr">
        <is>
          <t>T</t>
        </is>
      </c>
      <c r="M14" t="n">
        <v>-0.09</v>
      </c>
      <c r="R14" t="inlineStr">
        <is>
          <t>OK</t>
        </is>
      </c>
      <c r="S14" t="inlineStr">
        <is>
          <t>검사데이터_조회_터미널단자높이_260504~0602</t>
        </is>
      </c>
      <c r="T14" t="n">
        <v>3</v>
      </c>
      <c r="U14" t="inlineStr">
        <is>
          <t>2026-05-26|주간|LOT=365301XFB0,SFZOT5S0149</t>
        </is>
      </c>
      <c r="V14" t="inlineStr">
        <is>
          <t>2026-05-26</t>
        </is>
      </c>
      <c r="W14" t="inlineStr">
        <is>
          <t>date_block</t>
        </is>
      </c>
    </row>
    <row r="15">
      <c r="A15" t="inlineStr">
        <is>
          <t>ST01</t>
        </is>
      </c>
      <c r="B15" t="inlineStr">
        <is>
          <t>ST140</t>
        </is>
      </c>
      <c r="C15" t="inlineStr">
        <is>
          <t>터미널 높이 검사</t>
        </is>
      </c>
      <c r="D15" t="inlineStr">
        <is>
          <t>ST01-140-01</t>
        </is>
      </c>
      <c r="E15" t="inlineStr">
        <is>
          <t>365301XFB0</t>
        </is>
      </c>
      <c r="F15" t="inlineStr">
        <is>
          <t>Stator Assys(MV후륜)</t>
        </is>
      </c>
      <c r="G15" t="inlineStr">
        <is>
          <t>365301XFB0,SFZOT5S0149</t>
        </is>
      </c>
      <c r="H15" t="inlineStr">
        <is>
          <t>OK</t>
        </is>
      </c>
      <c r="I15" s="60" t="n">
        <v>46168.47313657407</v>
      </c>
      <c r="J15" t="n">
        <v>4</v>
      </c>
      <c r="K15" t="inlineStr">
        <is>
          <t>높이 측정 데이터#4</t>
        </is>
      </c>
      <c r="L15" t="inlineStr">
        <is>
          <t>T</t>
        </is>
      </c>
      <c r="M15" t="n">
        <v>-0.14</v>
      </c>
      <c r="R15" t="inlineStr">
        <is>
          <t>OK</t>
        </is>
      </c>
      <c r="S15" t="inlineStr">
        <is>
          <t>검사데이터_조회_터미널단자높이_260504~0602</t>
        </is>
      </c>
      <c r="T15" t="n">
        <v>3</v>
      </c>
      <c r="U15" t="inlineStr">
        <is>
          <t>2026-05-26|주간|LOT=365301XFB0,SFZOT5S0149</t>
        </is>
      </c>
      <c r="V15" t="inlineStr">
        <is>
          <t>2026-05-26</t>
        </is>
      </c>
      <c r="W15" t="inlineStr">
        <is>
          <t>date_block</t>
        </is>
      </c>
    </row>
    <row r="16">
      <c r="A16" t="inlineStr">
        <is>
          <t>ST01</t>
        </is>
      </c>
      <c r="B16" t="inlineStr">
        <is>
          <t>ST140</t>
        </is>
      </c>
      <c r="C16" t="inlineStr">
        <is>
          <t>터미널 높이 검사</t>
        </is>
      </c>
      <c r="D16" t="inlineStr">
        <is>
          <t>ST01-140-01</t>
        </is>
      </c>
      <c r="E16" t="inlineStr">
        <is>
          <t>365301XFB0</t>
        </is>
      </c>
      <c r="F16" t="inlineStr">
        <is>
          <t>Stator Assys(MV후륜)</t>
        </is>
      </c>
      <c r="G16" t="inlineStr">
        <is>
          <t>365301XFB0,SFZOT5S0149</t>
        </is>
      </c>
      <c r="H16" t="inlineStr">
        <is>
          <t>OK</t>
        </is>
      </c>
      <c r="I16" s="60" t="n">
        <v>46168.47313657407</v>
      </c>
      <c r="J16" t="n">
        <v>5</v>
      </c>
      <c r="K16" t="inlineStr">
        <is>
          <t>높이 측정 데이터#5</t>
        </is>
      </c>
      <c r="L16" t="inlineStr">
        <is>
          <t>T</t>
        </is>
      </c>
      <c r="M16" t="n">
        <v>-0.41</v>
      </c>
      <c r="R16" t="inlineStr">
        <is>
          <t>OK</t>
        </is>
      </c>
      <c r="S16" t="inlineStr">
        <is>
          <t>검사데이터_조회_터미널단자높이_260504~0602</t>
        </is>
      </c>
      <c r="T16" t="n">
        <v>3</v>
      </c>
      <c r="U16" t="inlineStr">
        <is>
          <t>2026-05-26|주간|LOT=365301XFB0,SFZOT5S0149</t>
        </is>
      </c>
      <c r="V16" t="inlineStr">
        <is>
          <t>2026-05-26</t>
        </is>
      </c>
      <c r="W16" t="inlineStr">
        <is>
          <t>date_block</t>
        </is>
      </c>
    </row>
    <row r="17">
      <c r="A17" t="inlineStr">
        <is>
          <t>ST01</t>
        </is>
      </c>
      <c r="B17" t="inlineStr">
        <is>
          <t>ST140</t>
        </is>
      </c>
      <c r="C17" t="inlineStr">
        <is>
          <t>터미널 높이 검사</t>
        </is>
      </c>
      <c r="D17" t="inlineStr">
        <is>
          <t>ST01-140-01</t>
        </is>
      </c>
      <c r="E17" t="inlineStr">
        <is>
          <t>365301XFB0</t>
        </is>
      </c>
      <c r="F17" t="inlineStr">
        <is>
          <t>Stator Assys(MV후륜)</t>
        </is>
      </c>
      <c r="G17" t="inlineStr">
        <is>
          <t>365301XFB0,SFZOT5E0095</t>
        </is>
      </c>
      <c r="H17" t="inlineStr">
        <is>
          <t>OK</t>
        </is>
      </c>
      <c r="I17" s="60" t="n">
        <v>46157.39414351852</v>
      </c>
      <c r="J17" t="n">
        <v>1</v>
      </c>
      <c r="K17" t="inlineStr">
        <is>
          <t>높이 측정 데이터#1</t>
        </is>
      </c>
      <c r="L17" t="inlineStr">
        <is>
          <t>T</t>
        </is>
      </c>
      <c r="M17" t="n">
        <v>-0.33</v>
      </c>
      <c r="R17" t="inlineStr">
        <is>
          <t>OK</t>
        </is>
      </c>
      <c r="S17" t="inlineStr">
        <is>
          <t>검사데이터_조회_터미널단자높이_260504~0602</t>
        </is>
      </c>
      <c r="T17" t="n">
        <v>4</v>
      </c>
      <c r="U17" t="inlineStr">
        <is>
          <t>2026-05-15|주간|LOT=365301XFB0,SFZOT5E0095</t>
        </is>
      </c>
      <c r="V17" t="inlineStr">
        <is>
          <t>2026-05-15</t>
        </is>
      </c>
      <c r="W17" t="inlineStr">
        <is>
          <t>date_block</t>
        </is>
      </c>
    </row>
    <row r="18">
      <c r="A18" t="inlineStr">
        <is>
          <t>ST01</t>
        </is>
      </c>
      <c r="B18" t="inlineStr">
        <is>
          <t>ST140</t>
        </is>
      </c>
      <c r="C18" t="inlineStr">
        <is>
          <t>터미널 높이 검사</t>
        </is>
      </c>
      <c r="D18" t="inlineStr">
        <is>
          <t>ST01-140-01</t>
        </is>
      </c>
      <c r="E18" t="inlineStr">
        <is>
          <t>365301XFB0</t>
        </is>
      </c>
      <c r="F18" t="inlineStr">
        <is>
          <t>Stator Assys(MV후륜)</t>
        </is>
      </c>
      <c r="G18" t="inlineStr">
        <is>
          <t>365301XFB0,SFZOT5E0095</t>
        </is>
      </c>
      <c r="H18" t="inlineStr">
        <is>
          <t>OK</t>
        </is>
      </c>
      <c r="I18" s="60" t="n">
        <v>46157.39414351852</v>
      </c>
      <c r="J18" t="n">
        <v>2</v>
      </c>
      <c r="K18" t="inlineStr">
        <is>
          <t>높이 측정 데이터#2</t>
        </is>
      </c>
      <c r="L18" t="inlineStr">
        <is>
          <t>T</t>
        </is>
      </c>
      <c r="M18" t="n">
        <v>-0.13</v>
      </c>
      <c r="R18" t="inlineStr">
        <is>
          <t>OK</t>
        </is>
      </c>
      <c r="S18" t="inlineStr">
        <is>
          <t>검사데이터_조회_터미널단자높이_260504~0602</t>
        </is>
      </c>
      <c r="T18" t="n">
        <v>4</v>
      </c>
      <c r="U18" t="inlineStr">
        <is>
          <t>2026-05-15|주간|LOT=365301XFB0,SFZOT5E0095</t>
        </is>
      </c>
      <c r="V18" t="inlineStr">
        <is>
          <t>2026-05-15</t>
        </is>
      </c>
      <c r="W18" t="inlineStr">
        <is>
          <t>date_block</t>
        </is>
      </c>
    </row>
    <row r="19">
      <c r="A19" t="inlineStr">
        <is>
          <t>ST01</t>
        </is>
      </c>
      <c r="B19" t="inlineStr">
        <is>
          <t>ST140</t>
        </is>
      </c>
      <c r="C19" t="inlineStr">
        <is>
          <t>터미널 높이 검사</t>
        </is>
      </c>
      <c r="D19" t="inlineStr">
        <is>
          <t>ST01-140-01</t>
        </is>
      </c>
      <c r="E19" t="inlineStr">
        <is>
          <t>365301XFB0</t>
        </is>
      </c>
      <c r="F19" t="inlineStr">
        <is>
          <t>Stator Assys(MV후륜)</t>
        </is>
      </c>
      <c r="G19" t="inlineStr">
        <is>
          <t>365301XFB0,SFZOT5E0095</t>
        </is>
      </c>
      <c r="H19" t="inlineStr">
        <is>
          <t>OK</t>
        </is>
      </c>
      <c r="I19" s="60" t="n">
        <v>46157.39414351852</v>
      </c>
      <c r="J19" t="n">
        <v>3</v>
      </c>
      <c r="K19" t="inlineStr">
        <is>
          <t>높이 측정 데이터#3</t>
        </is>
      </c>
      <c r="L19" t="inlineStr">
        <is>
          <t>T</t>
        </is>
      </c>
      <c r="M19" t="n">
        <v>-0.16</v>
      </c>
      <c r="R19" t="inlineStr">
        <is>
          <t>OK</t>
        </is>
      </c>
      <c r="S19" t="inlineStr">
        <is>
          <t>검사데이터_조회_터미널단자높이_260504~0602</t>
        </is>
      </c>
      <c r="T19" t="n">
        <v>4</v>
      </c>
      <c r="U19" t="inlineStr">
        <is>
          <t>2026-05-15|주간|LOT=365301XFB0,SFZOT5E0095</t>
        </is>
      </c>
      <c r="V19" t="inlineStr">
        <is>
          <t>2026-05-15</t>
        </is>
      </c>
      <c r="W19" t="inlineStr">
        <is>
          <t>date_block</t>
        </is>
      </c>
    </row>
    <row r="20">
      <c r="A20" t="inlineStr">
        <is>
          <t>ST01</t>
        </is>
      </c>
      <c r="B20" t="inlineStr">
        <is>
          <t>ST140</t>
        </is>
      </c>
      <c r="C20" t="inlineStr">
        <is>
          <t>터미널 높이 검사</t>
        </is>
      </c>
      <c r="D20" t="inlineStr">
        <is>
          <t>ST01-140-01</t>
        </is>
      </c>
      <c r="E20" t="inlineStr">
        <is>
          <t>365301XFB0</t>
        </is>
      </c>
      <c r="F20" t="inlineStr">
        <is>
          <t>Stator Assys(MV후륜)</t>
        </is>
      </c>
      <c r="G20" t="inlineStr">
        <is>
          <t>365301XFB0,SFZOT5E0095</t>
        </is>
      </c>
      <c r="H20" t="inlineStr">
        <is>
          <t>OK</t>
        </is>
      </c>
      <c r="I20" s="60" t="n">
        <v>46157.39414351852</v>
      </c>
      <c r="J20" t="n">
        <v>4</v>
      </c>
      <c r="K20" t="inlineStr">
        <is>
          <t>높이 측정 데이터#4</t>
        </is>
      </c>
      <c r="L20" t="inlineStr">
        <is>
          <t>T</t>
        </is>
      </c>
      <c r="M20" t="n">
        <v>-0.21</v>
      </c>
      <c r="R20" t="inlineStr">
        <is>
          <t>OK</t>
        </is>
      </c>
      <c r="S20" t="inlineStr">
        <is>
          <t>검사데이터_조회_터미널단자높이_260504~0602</t>
        </is>
      </c>
      <c r="T20" t="n">
        <v>4</v>
      </c>
      <c r="U20" t="inlineStr">
        <is>
          <t>2026-05-15|주간|LOT=365301XFB0,SFZOT5E0095</t>
        </is>
      </c>
      <c r="V20" t="inlineStr">
        <is>
          <t>2026-05-15</t>
        </is>
      </c>
      <c r="W20" t="inlineStr">
        <is>
          <t>date_block</t>
        </is>
      </c>
    </row>
    <row r="21">
      <c r="A21" t="inlineStr">
        <is>
          <t>ST01</t>
        </is>
      </c>
      <c r="B21" t="inlineStr">
        <is>
          <t>ST140</t>
        </is>
      </c>
      <c r="C21" t="inlineStr">
        <is>
          <t>터미널 높이 검사</t>
        </is>
      </c>
      <c r="D21" t="inlineStr">
        <is>
          <t>ST01-140-01</t>
        </is>
      </c>
      <c r="E21" t="inlineStr">
        <is>
          <t>365301XFB0</t>
        </is>
      </c>
      <c r="F21" t="inlineStr">
        <is>
          <t>Stator Assys(MV후륜)</t>
        </is>
      </c>
      <c r="G21" t="inlineStr">
        <is>
          <t>365301XFB0,SFZOT5E0095</t>
        </is>
      </c>
      <c r="H21" t="inlineStr">
        <is>
          <t>OK</t>
        </is>
      </c>
      <c r="I21" s="60" t="n">
        <v>46157.39414351852</v>
      </c>
      <c r="J21" t="n">
        <v>5</v>
      </c>
      <c r="K21" t="inlineStr">
        <is>
          <t>높이 측정 데이터#5</t>
        </is>
      </c>
      <c r="L21" t="inlineStr">
        <is>
          <t>T</t>
        </is>
      </c>
      <c r="M21" t="n">
        <v>-0.02</v>
      </c>
      <c r="R21" t="inlineStr">
        <is>
          <t>OK</t>
        </is>
      </c>
      <c r="S21" t="inlineStr">
        <is>
          <t>검사데이터_조회_터미널단자높이_260504~0602</t>
        </is>
      </c>
      <c r="T21" t="n">
        <v>4</v>
      </c>
      <c r="U21" t="inlineStr">
        <is>
          <t>2026-05-15|주간|LOT=365301XFB0,SFZOT5E0095</t>
        </is>
      </c>
      <c r="V21" t="inlineStr">
        <is>
          <t>2026-05-15</t>
        </is>
      </c>
      <c r="W21" t="inlineStr">
        <is>
          <t>date_block</t>
        </is>
      </c>
    </row>
    <row r="22">
      <c r="A22" t="inlineStr">
        <is>
          <t>ST01</t>
        </is>
      </c>
      <c r="B22" t="inlineStr">
        <is>
          <t>ST140</t>
        </is>
      </c>
      <c r="C22" t="inlineStr">
        <is>
          <t>터미널 높이 검사</t>
        </is>
      </c>
      <c r="D22" t="inlineStr">
        <is>
          <t>ST01-140-01</t>
        </is>
      </c>
      <c r="E22" t="inlineStr">
        <is>
          <t>365301XFB0</t>
        </is>
      </c>
      <c r="F22" t="inlineStr">
        <is>
          <t>Stator Assys(MV후륜)</t>
        </is>
      </c>
      <c r="G22" t="inlineStr">
        <is>
          <t>365301XFB0,SFZOT5L0065</t>
        </is>
      </c>
      <c r="H22" t="inlineStr">
        <is>
          <t>OK</t>
        </is>
      </c>
      <c r="I22" s="60" t="n">
        <v>46164.32601851852</v>
      </c>
      <c r="J22" t="n">
        <v>1</v>
      </c>
      <c r="K22" t="inlineStr">
        <is>
          <t>높이 측정 데이터#1</t>
        </is>
      </c>
      <c r="L22" t="inlineStr">
        <is>
          <t>T</t>
        </is>
      </c>
      <c r="M22" t="n">
        <v>-0.37</v>
      </c>
      <c r="R22" t="inlineStr">
        <is>
          <t>OK</t>
        </is>
      </c>
      <c r="S22" t="inlineStr">
        <is>
          <t>검사데이터_조회_터미널단자높이_260504~0602</t>
        </is>
      </c>
      <c r="T22" t="n">
        <v>5</v>
      </c>
      <c r="U22" t="inlineStr">
        <is>
          <t>2026-05-22|야간|LOT=365301XFB0,SFZOT5L0065</t>
        </is>
      </c>
      <c r="V22" t="inlineStr">
        <is>
          <t>2026-05-22</t>
        </is>
      </c>
      <c r="W22" t="inlineStr">
        <is>
          <t>date_block</t>
        </is>
      </c>
    </row>
    <row r="23">
      <c r="A23" t="inlineStr">
        <is>
          <t>ST01</t>
        </is>
      </c>
      <c r="B23" t="inlineStr">
        <is>
          <t>ST140</t>
        </is>
      </c>
      <c r="C23" t="inlineStr">
        <is>
          <t>터미널 높이 검사</t>
        </is>
      </c>
      <c r="D23" t="inlineStr">
        <is>
          <t>ST01-140-01</t>
        </is>
      </c>
      <c r="E23" t="inlineStr">
        <is>
          <t>365301XFB0</t>
        </is>
      </c>
      <c r="F23" t="inlineStr">
        <is>
          <t>Stator Assys(MV후륜)</t>
        </is>
      </c>
      <c r="G23" t="inlineStr">
        <is>
          <t>365301XFB0,SFZOT5L0065</t>
        </is>
      </c>
      <c r="H23" t="inlineStr">
        <is>
          <t>OK</t>
        </is>
      </c>
      <c r="I23" s="60" t="n">
        <v>46164.32601851852</v>
      </c>
      <c r="J23" t="n">
        <v>2</v>
      </c>
      <c r="K23" t="inlineStr">
        <is>
          <t>높이 측정 데이터#2</t>
        </is>
      </c>
      <c r="L23" t="inlineStr">
        <is>
          <t>T</t>
        </is>
      </c>
      <c r="M23" t="n">
        <v>-0.28</v>
      </c>
      <c r="R23" t="inlineStr">
        <is>
          <t>OK</t>
        </is>
      </c>
      <c r="S23" t="inlineStr">
        <is>
          <t>검사데이터_조회_터미널단자높이_260504~0602</t>
        </is>
      </c>
      <c r="T23" t="n">
        <v>5</v>
      </c>
      <c r="U23" t="inlineStr">
        <is>
          <t>2026-05-22|야간|LOT=365301XFB0,SFZOT5L0065</t>
        </is>
      </c>
      <c r="V23" t="inlineStr">
        <is>
          <t>2026-05-22</t>
        </is>
      </c>
      <c r="W23" t="inlineStr">
        <is>
          <t>date_block</t>
        </is>
      </c>
    </row>
    <row r="24">
      <c r="A24" t="inlineStr">
        <is>
          <t>ST01</t>
        </is>
      </c>
      <c r="B24" t="inlineStr">
        <is>
          <t>ST140</t>
        </is>
      </c>
      <c r="C24" t="inlineStr">
        <is>
          <t>터미널 높이 검사</t>
        </is>
      </c>
      <c r="D24" t="inlineStr">
        <is>
          <t>ST01-140-01</t>
        </is>
      </c>
      <c r="E24" t="inlineStr">
        <is>
          <t>365301XFB0</t>
        </is>
      </c>
      <c r="F24" t="inlineStr">
        <is>
          <t>Stator Assys(MV후륜)</t>
        </is>
      </c>
      <c r="G24" t="inlineStr">
        <is>
          <t>365301XFB0,SFZOT5L0065</t>
        </is>
      </c>
      <c r="H24" t="inlineStr">
        <is>
          <t>OK</t>
        </is>
      </c>
      <c r="I24" s="60" t="n">
        <v>46164.32601851852</v>
      </c>
      <c r="J24" t="n">
        <v>3</v>
      </c>
      <c r="K24" t="inlineStr">
        <is>
          <t>높이 측정 데이터#3</t>
        </is>
      </c>
      <c r="L24" t="inlineStr">
        <is>
          <t>T</t>
        </is>
      </c>
      <c r="M24" t="n">
        <v>-0.37</v>
      </c>
      <c r="R24" t="inlineStr">
        <is>
          <t>OK</t>
        </is>
      </c>
      <c r="S24" t="inlineStr">
        <is>
          <t>검사데이터_조회_터미널단자높이_260504~0602</t>
        </is>
      </c>
      <c r="T24" t="n">
        <v>5</v>
      </c>
      <c r="U24" t="inlineStr">
        <is>
          <t>2026-05-22|야간|LOT=365301XFB0,SFZOT5L0065</t>
        </is>
      </c>
      <c r="V24" t="inlineStr">
        <is>
          <t>2026-05-22</t>
        </is>
      </c>
      <c r="W24" t="inlineStr">
        <is>
          <t>date_block</t>
        </is>
      </c>
    </row>
    <row r="25">
      <c r="A25" t="inlineStr">
        <is>
          <t>ST01</t>
        </is>
      </c>
      <c r="B25" t="inlineStr">
        <is>
          <t>ST140</t>
        </is>
      </c>
      <c r="C25" t="inlineStr">
        <is>
          <t>터미널 높이 검사</t>
        </is>
      </c>
      <c r="D25" t="inlineStr">
        <is>
          <t>ST01-140-01</t>
        </is>
      </c>
      <c r="E25" t="inlineStr">
        <is>
          <t>365301XFB0</t>
        </is>
      </c>
      <c r="F25" t="inlineStr">
        <is>
          <t>Stator Assys(MV후륜)</t>
        </is>
      </c>
      <c r="G25" t="inlineStr">
        <is>
          <t>365301XFB0,SFZOT5L0065</t>
        </is>
      </c>
      <c r="H25" t="inlineStr">
        <is>
          <t>OK</t>
        </is>
      </c>
      <c r="I25" s="60" t="n">
        <v>46164.32601851852</v>
      </c>
      <c r="J25" t="n">
        <v>4</v>
      </c>
      <c r="K25" t="inlineStr">
        <is>
          <t>높이 측정 데이터#4</t>
        </is>
      </c>
      <c r="L25" t="inlineStr">
        <is>
          <t>T</t>
        </is>
      </c>
      <c r="M25" t="n">
        <v>-0.38</v>
      </c>
      <c r="R25" t="inlineStr">
        <is>
          <t>OK</t>
        </is>
      </c>
      <c r="S25" t="inlineStr">
        <is>
          <t>검사데이터_조회_터미널단자높이_260504~0602</t>
        </is>
      </c>
      <c r="T25" t="n">
        <v>5</v>
      </c>
      <c r="U25" t="inlineStr">
        <is>
          <t>2026-05-22|야간|LOT=365301XFB0,SFZOT5L0065</t>
        </is>
      </c>
      <c r="V25" t="inlineStr">
        <is>
          <t>2026-05-22</t>
        </is>
      </c>
      <c r="W25" t="inlineStr">
        <is>
          <t>date_block</t>
        </is>
      </c>
    </row>
    <row r="26">
      <c r="A26" t="inlineStr">
        <is>
          <t>ST01</t>
        </is>
      </c>
      <c r="B26" t="inlineStr">
        <is>
          <t>ST140</t>
        </is>
      </c>
      <c r="C26" t="inlineStr">
        <is>
          <t>터미널 높이 검사</t>
        </is>
      </c>
      <c r="D26" t="inlineStr">
        <is>
          <t>ST01-140-01</t>
        </is>
      </c>
      <c r="E26" t="inlineStr">
        <is>
          <t>365301XFB0</t>
        </is>
      </c>
      <c r="F26" t="inlineStr">
        <is>
          <t>Stator Assys(MV후륜)</t>
        </is>
      </c>
      <c r="G26" t="inlineStr">
        <is>
          <t>365301XFB0,SFZOT5L0065</t>
        </is>
      </c>
      <c r="H26" t="inlineStr">
        <is>
          <t>OK</t>
        </is>
      </c>
      <c r="I26" s="60" t="n">
        <v>46164.32601851852</v>
      </c>
      <c r="J26" t="n">
        <v>5</v>
      </c>
      <c r="K26" t="inlineStr">
        <is>
          <t>높이 측정 데이터#5</t>
        </is>
      </c>
      <c r="L26" t="inlineStr">
        <is>
          <t>T</t>
        </is>
      </c>
      <c r="M26" t="n">
        <v>-0.29</v>
      </c>
      <c r="R26" t="inlineStr">
        <is>
          <t>OK</t>
        </is>
      </c>
      <c r="S26" t="inlineStr">
        <is>
          <t>검사데이터_조회_터미널단자높이_260504~0602</t>
        </is>
      </c>
      <c r="T26" t="n">
        <v>5</v>
      </c>
      <c r="U26" t="inlineStr">
        <is>
          <t>2026-05-22|야간|LOT=365301XFB0,SFZOT5L0065</t>
        </is>
      </c>
      <c r="V26" t="inlineStr">
        <is>
          <t>2026-05-22</t>
        </is>
      </c>
      <c r="W26" t="inlineStr">
        <is>
          <t>date_block</t>
        </is>
      </c>
    </row>
    <row r="27">
      <c r="A27" t="inlineStr">
        <is>
          <t>ST01</t>
        </is>
      </c>
      <c r="B27" t="inlineStr">
        <is>
          <t>ST140</t>
        </is>
      </c>
      <c r="C27" t="inlineStr">
        <is>
          <t>터미널 높이 검사</t>
        </is>
      </c>
      <c r="D27" t="inlineStr">
        <is>
          <t>ST01-140-01</t>
        </is>
      </c>
      <c r="E27" t="inlineStr">
        <is>
          <t>365301XFB0</t>
        </is>
      </c>
      <c r="F27" t="inlineStr">
        <is>
          <t>Stator Assys(MV후륜)</t>
        </is>
      </c>
      <c r="G27" t="inlineStr">
        <is>
          <t>365301XFB0,SFZOT5L0004</t>
        </is>
      </c>
      <c r="H27" t="inlineStr">
        <is>
          <t>OK</t>
        </is>
      </c>
      <c r="I27" s="60" t="n">
        <v>46163.32782407408</v>
      </c>
      <c r="J27" t="n">
        <v>1</v>
      </c>
      <c r="K27" t="inlineStr">
        <is>
          <t>높이 측정 데이터#1</t>
        </is>
      </c>
      <c r="L27" t="inlineStr">
        <is>
          <t>T</t>
        </is>
      </c>
      <c r="M27" t="n">
        <v>-0.24</v>
      </c>
      <c r="R27" t="inlineStr">
        <is>
          <t>OK</t>
        </is>
      </c>
      <c r="S27" t="inlineStr">
        <is>
          <t>검사데이터_조회_터미널단자높이_260504~0602</t>
        </is>
      </c>
      <c r="T27" t="n">
        <v>6</v>
      </c>
      <c r="U27" t="inlineStr">
        <is>
          <t>2026-05-21|야간|LOT=365301XFB0,SFZOT5L0004</t>
        </is>
      </c>
      <c r="V27" t="inlineStr">
        <is>
          <t>2026-05-21</t>
        </is>
      </c>
      <c r="W27" t="inlineStr">
        <is>
          <t>date_block</t>
        </is>
      </c>
    </row>
    <row r="28">
      <c r="A28" t="inlineStr">
        <is>
          <t>ST01</t>
        </is>
      </c>
      <c r="B28" t="inlineStr">
        <is>
          <t>ST140</t>
        </is>
      </c>
      <c r="C28" t="inlineStr">
        <is>
          <t>터미널 높이 검사</t>
        </is>
      </c>
      <c r="D28" t="inlineStr">
        <is>
          <t>ST01-140-01</t>
        </is>
      </c>
      <c r="E28" t="inlineStr">
        <is>
          <t>365301XFB0</t>
        </is>
      </c>
      <c r="F28" t="inlineStr">
        <is>
          <t>Stator Assys(MV후륜)</t>
        </is>
      </c>
      <c r="G28" t="inlineStr">
        <is>
          <t>365301XFB0,SFZOT5L0004</t>
        </is>
      </c>
      <c r="H28" t="inlineStr">
        <is>
          <t>OK</t>
        </is>
      </c>
      <c r="I28" s="60" t="n">
        <v>46163.32782407408</v>
      </c>
      <c r="J28" t="n">
        <v>2</v>
      </c>
      <c r="K28" t="inlineStr">
        <is>
          <t>높이 측정 데이터#2</t>
        </is>
      </c>
      <c r="L28" t="inlineStr">
        <is>
          <t>T</t>
        </is>
      </c>
      <c r="M28" t="n">
        <v>-0.1</v>
      </c>
      <c r="R28" t="inlineStr">
        <is>
          <t>OK</t>
        </is>
      </c>
      <c r="S28" t="inlineStr">
        <is>
          <t>검사데이터_조회_터미널단자높이_260504~0602</t>
        </is>
      </c>
      <c r="T28" t="n">
        <v>6</v>
      </c>
      <c r="U28" t="inlineStr">
        <is>
          <t>2026-05-21|야간|LOT=365301XFB0,SFZOT5L0004</t>
        </is>
      </c>
      <c r="V28" t="inlineStr">
        <is>
          <t>2026-05-21</t>
        </is>
      </c>
      <c r="W28" t="inlineStr">
        <is>
          <t>date_block</t>
        </is>
      </c>
    </row>
    <row r="29">
      <c r="A29" t="inlineStr">
        <is>
          <t>ST01</t>
        </is>
      </c>
      <c r="B29" t="inlineStr">
        <is>
          <t>ST140</t>
        </is>
      </c>
      <c r="C29" t="inlineStr">
        <is>
          <t>터미널 높이 검사</t>
        </is>
      </c>
      <c r="D29" t="inlineStr">
        <is>
          <t>ST01-140-01</t>
        </is>
      </c>
      <c r="E29" t="inlineStr">
        <is>
          <t>365301XFB0</t>
        </is>
      </c>
      <c r="F29" t="inlineStr">
        <is>
          <t>Stator Assys(MV후륜)</t>
        </is>
      </c>
      <c r="G29" t="inlineStr">
        <is>
          <t>365301XFB0,SFZOT5L0004</t>
        </is>
      </c>
      <c r="H29" t="inlineStr">
        <is>
          <t>OK</t>
        </is>
      </c>
      <c r="I29" s="60" t="n">
        <v>46163.32782407408</v>
      </c>
      <c r="J29" t="n">
        <v>3</v>
      </c>
      <c r="K29" t="inlineStr">
        <is>
          <t>높이 측정 데이터#3</t>
        </is>
      </c>
      <c r="L29" t="inlineStr">
        <is>
          <t>T</t>
        </is>
      </c>
      <c r="M29" t="n">
        <v>-0.18</v>
      </c>
      <c r="R29" t="inlineStr">
        <is>
          <t>OK</t>
        </is>
      </c>
      <c r="S29" t="inlineStr">
        <is>
          <t>검사데이터_조회_터미널단자높이_260504~0602</t>
        </is>
      </c>
      <c r="T29" t="n">
        <v>6</v>
      </c>
      <c r="U29" t="inlineStr">
        <is>
          <t>2026-05-21|야간|LOT=365301XFB0,SFZOT5L0004</t>
        </is>
      </c>
      <c r="V29" t="inlineStr">
        <is>
          <t>2026-05-21</t>
        </is>
      </c>
      <c r="W29" t="inlineStr">
        <is>
          <t>date_block</t>
        </is>
      </c>
    </row>
    <row r="30">
      <c r="A30" t="inlineStr">
        <is>
          <t>ST01</t>
        </is>
      </c>
      <c r="B30" t="inlineStr">
        <is>
          <t>ST140</t>
        </is>
      </c>
      <c r="C30" t="inlineStr">
        <is>
          <t>터미널 높이 검사</t>
        </is>
      </c>
      <c r="D30" t="inlineStr">
        <is>
          <t>ST01-140-01</t>
        </is>
      </c>
      <c r="E30" t="inlineStr">
        <is>
          <t>365301XFB0</t>
        </is>
      </c>
      <c r="F30" t="inlineStr">
        <is>
          <t>Stator Assys(MV후륜)</t>
        </is>
      </c>
      <c r="G30" t="inlineStr">
        <is>
          <t>365301XFB0,SFZOT5L0004</t>
        </is>
      </c>
      <c r="H30" t="inlineStr">
        <is>
          <t>OK</t>
        </is>
      </c>
      <c r="I30" s="60" t="n">
        <v>46163.32782407408</v>
      </c>
      <c r="J30" t="n">
        <v>4</v>
      </c>
      <c r="K30" t="inlineStr">
        <is>
          <t>높이 측정 데이터#4</t>
        </is>
      </c>
      <c r="L30" t="inlineStr">
        <is>
          <t>T</t>
        </is>
      </c>
      <c r="M30" t="n">
        <v>-0.17</v>
      </c>
      <c r="R30" t="inlineStr">
        <is>
          <t>OK</t>
        </is>
      </c>
      <c r="S30" t="inlineStr">
        <is>
          <t>검사데이터_조회_터미널단자높이_260504~0602</t>
        </is>
      </c>
      <c r="T30" t="n">
        <v>6</v>
      </c>
      <c r="U30" t="inlineStr">
        <is>
          <t>2026-05-21|야간|LOT=365301XFB0,SFZOT5L0004</t>
        </is>
      </c>
      <c r="V30" t="inlineStr">
        <is>
          <t>2026-05-21</t>
        </is>
      </c>
      <c r="W30" t="inlineStr">
        <is>
          <t>date_block</t>
        </is>
      </c>
    </row>
    <row r="31">
      <c r="A31" t="inlineStr">
        <is>
          <t>ST01</t>
        </is>
      </c>
      <c r="B31" t="inlineStr">
        <is>
          <t>ST140</t>
        </is>
      </c>
      <c r="C31" t="inlineStr">
        <is>
          <t>터미널 높이 검사</t>
        </is>
      </c>
      <c r="D31" t="inlineStr">
        <is>
          <t>ST01-140-01</t>
        </is>
      </c>
      <c r="E31" t="inlineStr">
        <is>
          <t>365301XFB0</t>
        </is>
      </c>
      <c r="F31" t="inlineStr">
        <is>
          <t>Stator Assys(MV후륜)</t>
        </is>
      </c>
      <c r="G31" t="inlineStr">
        <is>
          <t>365301XFB0,SFZOT5L0004</t>
        </is>
      </c>
      <c r="H31" t="inlineStr">
        <is>
          <t>OK</t>
        </is>
      </c>
      <c r="I31" s="60" t="n">
        <v>46163.32782407408</v>
      </c>
      <c r="J31" t="n">
        <v>5</v>
      </c>
      <c r="K31" t="inlineStr">
        <is>
          <t>높이 측정 데이터#5</t>
        </is>
      </c>
      <c r="L31" t="inlineStr">
        <is>
          <t>T</t>
        </is>
      </c>
      <c r="M31" t="n">
        <v>-0.16</v>
      </c>
      <c r="R31" t="inlineStr">
        <is>
          <t>OK</t>
        </is>
      </c>
      <c r="S31" t="inlineStr">
        <is>
          <t>검사데이터_조회_터미널단자높이_260504~0602</t>
        </is>
      </c>
      <c r="T31" t="n">
        <v>6</v>
      </c>
      <c r="U31" t="inlineStr">
        <is>
          <t>2026-05-21|야간|LOT=365301XFB0,SFZOT5L0004</t>
        </is>
      </c>
      <c r="V31" t="inlineStr">
        <is>
          <t>2026-05-21</t>
        </is>
      </c>
      <c r="W31" t="inlineStr">
        <is>
          <t>date_block</t>
        </is>
      </c>
    </row>
    <row r="32">
      <c r="A32" t="inlineStr">
        <is>
          <t>ST01</t>
        </is>
      </c>
      <c r="B32" t="inlineStr">
        <is>
          <t>ST140</t>
        </is>
      </c>
      <c r="C32" t="inlineStr">
        <is>
          <t>터미널 높이 검사</t>
        </is>
      </c>
      <c r="D32" t="inlineStr">
        <is>
          <t>ST01-140-01</t>
        </is>
      </c>
      <c r="E32" t="inlineStr">
        <is>
          <t>365301XFB0</t>
        </is>
      </c>
      <c r="F32" t="inlineStr">
        <is>
          <t>Stator Assys(MV후륜)</t>
        </is>
      </c>
      <c r="G32" t="inlineStr">
        <is>
          <t>365301XFB0,SFZOT5F0126</t>
        </is>
      </c>
      <c r="H32" t="inlineStr">
        <is>
          <t>OK</t>
        </is>
      </c>
      <c r="I32" s="60" t="n">
        <v>46161.38006944444</v>
      </c>
      <c r="J32" t="n">
        <v>1</v>
      </c>
      <c r="K32" t="inlineStr">
        <is>
          <t>높이 측정 데이터#1</t>
        </is>
      </c>
      <c r="L32" t="inlineStr">
        <is>
          <t>T</t>
        </is>
      </c>
      <c r="M32" t="n">
        <v>0.04</v>
      </c>
      <c r="R32" t="inlineStr">
        <is>
          <t>OK</t>
        </is>
      </c>
      <c r="S32" t="inlineStr">
        <is>
          <t>검사데이터_조회_터미널단자높이_260504~0602</t>
        </is>
      </c>
      <c r="T32" t="n">
        <v>7</v>
      </c>
      <c r="U32" t="inlineStr">
        <is>
          <t>2026-05-19|주간|LOT=365301XFB0,SFZOT5F0126</t>
        </is>
      </c>
      <c r="V32" t="inlineStr">
        <is>
          <t>2026-05-19</t>
        </is>
      </c>
      <c r="W32" t="inlineStr">
        <is>
          <t>date_block</t>
        </is>
      </c>
    </row>
    <row r="33">
      <c r="A33" t="inlineStr">
        <is>
          <t>ST01</t>
        </is>
      </c>
      <c r="B33" t="inlineStr">
        <is>
          <t>ST140</t>
        </is>
      </c>
      <c r="C33" t="inlineStr">
        <is>
          <t>터미널 높이 검사</t>
        </is>
      </c>
      <c r="D33" t="inlineStr">
        <is>
          <t>ST01-140-01</t>
        </is>
      </c>
      <c r="E33" t="inlineStr">
        <is>
          <t>365301XFB0</t>
        </is>
      </c>
      <c r="F33" t="inlineStr">
        <is>
          <t>Stator Assys(MV후륜)</t>
        </is>
      </c>
      <c r="G33" t="inlineStr">
        <is>
          <t>365301XFB0,SFZOT5F0126</t>
        </is>
      </c>
      <c r="H33" t="inlineStr">
        <is>
          <t>OK</t>
        </is>
      </c>
      <c r="I33" s="60" t="n">
        <v>46161.38006944444</v>
      </c>
      <c r="J33" t="n">
        <v>2</v>
      </c>
      <c r="K33" t="inlineStr">
        <is>
          <t>높이 측정 데이터#2</t>
        </is>
      </c>
      <c r="L33" t="inlineStr">
        <is>
          <t>T</t>
        </is>
      </c>
      <c r="M33" t="n">
        <v>0.15</v>
      </c>
      <c r="R33" t="inlineStr">
        <is>
          <t>OK</t>
        </is>
      </c>
      <c r="S33" t="inlineStr">
        <is>
          <t>검사데이터_조회_터미널단자높이_260504~0602</t>
        </is>
      </c>
      <c r="T33" t="n">
        <v>7</v>
      </c>
      <c r="U33" t="inlineStr">
        <is>
          <t>2026-05-19|주간|LOT=365301XFB0,SFZOT5F0126</t>
        </is>
      </c>
      <c r="V33" t="inlineStr">
        <is>
          <t>2026-05-19</t>
        </is>
      </c>
      <c r="W33" t="inlineStr">
        <is>
          <t>date_block</t>
        </is>
      </c>
    </row>
    <row r="34">
      <c r="A34" t="inlineStr">
        <is>
          <t>ST01</t>
        </is>
      </c>
      <c r="B34" t="inlineStr">
        <is>
          <t>ST140</t>
        </is>
      </c>
      <c r="C34" t="inlineStr">
        <is>
          <t>터미널 높이 검사</t>
        </is>
      </c>
      <c r="D34" t="inlineStr">
        <is>
          <t>ST01-140-01</t>
        </is>
      </c>
      <c r="E34" t="inlineStr">
        <is>
          <t>365301XFB0</t>
        </is>
      </c>
      <c r="F34" t="inlineStr">
        <is>
          <t>Stator Assys(MV후륜)</t>
        </is>
      </c>
      <c r="G34" t="inlineStr">
        <is>
          <t>365301XFB0,SFZOT5F0126</t>
        </is>
      </c>
      <c r="H34" t="inlineStr">
        <is>
          <t>OK</t>
        </is>
      </c>
      <c r="I34" s="60" t="n">
        <v>46161.38006944444</v>
      </c>
      <c r="J34" t="n">
        <v>3</v>
      </c>
      <c r="K34" t="inlineStr">
        <is>
          <t>높이 측정 데이터#3</t>
        </is>
      </c>
      <c r="L34" t="inlineStr">
        <is>
          <t>T</t>
        </is>
      </c>
      <c r="M34" t="n">
        <v>0.03</v>
      </c>
      <c r="R34" t="inlineStr">
        <is>
          <t>OK</t>
        </is>
      </c>
      <c r="S34" t="inlineStr">
        <is>
          <t>검사데이터_조회_터미널단자높이_260504~0602</t>
        </is>
      </c>
      <c r="T34" t="n">
        <v>7</v>
      </c>
      <c r="U34" t="inlineStr">
        <is>
          <t>2026-05-19|주간|LOT=365301XFB0,SFZOT5F0126</t>
        </is>
      </c>
      <c r="V34" t="inlineStr">
        <is>
          <t>2026-05-19</t>
        </is>
      </c>
      <c r="W34" t="inlineStr">
        <is>
          <t>date_block</t>
        </is>
      </c>
    </row>
    <row r="35">
      <c r="A35" t="inlineStr">
        <is>
          <t>ST01</t>
        </is>
      </c>
      <c r="B35" t="inlineStr">
        <is>
          <t>ST140</t>
        </is>
      </c>
      <c r="C35" t="inlineStr">
        <is>
          <t>터미널 높이 검사</t>
        </is>
      </c>
      <c r="D35" t="inlineStr">
        <is>
          <t>ST01-140-01</t>
        </is>
      </c>
      <c r="E35" t="inlineStr">
        <is>
          <t>365301XFB0</t>
        </is>
      </c>
      <c r="F35" t="inlineStr">
        <is>
          <t>Stator Assys(MV후륜)</t>
        </is>
      </c>
      <c r="G35" t="inlineStr">
        <is>
          <t>365301XFB0,SFZOT5F0126</t>
        </is>
      </c>
      <c r="H35" t="inlineStr">
        <is>
          <t>OK</t>
        </is>
      </c>
      <c r="I35" s="60" t="n">
        <v>46161.38006944444</v>
      </c>
      <c r="J35" t="n">
        <v>4</v>
      </c>
      <c r="K35" t="inlineStr">
        <is>
          <t>높이 측정 데이터#4</t>
        </is>
      </c>
      <c r="L35" t="inlineStr">
        <is>
          <t>T</t>
        </is>
      </c>
      <c r="M35" t="n">
        <v>-0.09</v>
      </c>
      <c r="R35" t="inlineStr">
        <is>
          <t>OK</t>
        </is>
      </c>
      <c r="S35" t="inlineStr">
        <is>
          <t>검사데이터_조회_터미널단자높이_260504~0602</t>
        </is>
      </c>
      <c r="T35" t="n">
        <v>7</v>
      </c>
      <c r="U35" t="inlineStr">
        <is>
          <t>2026-05-19|주간|LOT=365301XFB0,SFZOT5F0126</t>
        </is>
      </c>
      <c r="V35" t="inlineStr">
        <is>
          <t>2026-05-19</t>
        </is>
      </c>
      <c r="W35" t="inlineStr">
        <is>
          <t>date_block</t>
        </is>
      </c>
    </row>
    <row r="36">
      <c r="A36" t="inlineStr">
        <is>
          <t>ST01</t>
        </is>
      </c>
      <c r="B36" t="inlineStr">
        <is>
          <t>ST140</t>
        </is>
      </c>
      <c r="C36" t="inlineStr">
        <is>
          <t>터미널 높이 검사</t>
        </is>
      </c>
      <c r="D36" t="inlineStr">
        <is>
          <t>ST01-140-01</t>
        </is>
      </c>
      <c r="E36" t="inlineStr">
        <is>
          <t>365301XFB0</t>
        </is>
      </c>
      <c r="F36" t="inlineStr">
        <is>
          <t>Stator Assys(MV후륜)</t>
        </is>
      </c>
      <c r="G36" t="inlineStr">
        <is>
          <t>365301XFB0,SFZOT5F0126</t>
        </is>
      </c>
      <c r="H36" t="inlineStr">
        <is>
          <t>OK</t>
        </is>
      </c>
      <c r="I36" s="60" t="n">
        <v>46161.38006944444</v>
      </c>
      <c r="J36" t="n">
        <v>5</v>
      </c>
      <c r="K36" t="inlineStr">
        <is>
          <t>높이 측정 데이터#5</t>
        </is>
      </c>
      <c r="L36" t="inlineStr">
        <is>
          <t>T</t>
        </is>
      </c>
      <c r="M36" t="n">
        <v>-0.22</v>
      </c>
      <c r="R36" t="inlineStr">
        <is>
          <t>OK</t>
        </is>
      </c>
      <c r="S36" t="inlineStr">
        <is>
          <t>검사데이터_조회_터미널단자높이_260504~0602</t>
        </is>
      </c>
      <c r="T36" t="n">
        <v>7</v>
      </c>
      <c r="U36" t="inlineStr">
        <is>
          <t>2026-05-19|주간|LOT=365301XFB0,SFZOT5F0126</t>
        </is>
      </c>
      <c r="V36" t="inlineStr">
        <is>
          <t>2026-05-19</t>
        </is>
      </c>
      <c r="W36" t="inlineStr">
        <is>
          <t>date_block</t>
        </is>
      </c>
    </row>
    <row r="37">
      <c r="A37" t="inlineStr">
        <is>
          <t>ST01</t>
        </is>
      </c>
      <c r="B37" t="inlineStr">
        <is>
          <t>ST140</t>
        </is>
      </c>
      <c r="C37" t="inlineStr">
        <is>
          <t>터미널 높이 검사</t>
        </is>
      </c>
      <c r="D37" t="inlineStr">
        <is>
          <t>ST01-140-01</t>
        </is>
      </c>
      <c r="E37" t="inlineStr">
        <is>
          <t>365301XFB0</t>
        </is>
      </c>
      <c r="F37" t="inlineStr">
        <is>
          <t>Stator Assys(MV후륜)</t>
        </is>
      </c>
      <c r="G37" t="inlineStr">
        <is>
          <t>365301XFB0,SFZOT5B0086</t>
        </is>
      </c>
      <c r="H37" t="inlineStr">
        <is>
          <t>OK</t>
        </is>
      </c>
      <c r="I37" s="60" t="n">
        <v>46154.31143518518</v>
      </c>
      <c r="J37" t="n">
        <v>1</v>
      </c>
      <c r="K37" t="inlineStr">
        <is>
          <t>높이 측정 데이터#1</t>
        </is>
      </c>
      <c r="L37" t="inlineStr">
        <is>
          <t>T</t>
        </is>
      </c>
      <c r="M37" t="n">
        <v>-0.09</v>
      </c>
      <c r="R37" t="inlineStr">
        <is>
          <t>OK</t>
        </is>
      </c>
      <c r="S37" t="inlineStr">
        <is>
          <t>검사데이터_조회_터미널단자높이_260504~0602</t>
        </is>
      </c>
      <c r="T37" t="n">
        <v>8</v>
      </c>
      <c r="U37" t="inlineStr">
        <is>
          <t>2026-05-12|야간|LOT=365301XFB0,SFZOT5B0086</t>
        </is>
      </c>
      <c r="V37" t="inlineStr">
        <is>
          <t>2026-05-12</t>
        </is>
      </c>
      <c r="W37" t="inlineStr">
        <is>
          <t>date_block</t>
        </is>
      </c>
    </row>
    <row r="38">
      <c r="A38" t="inlineStr">
        <is>
          <t>ST01</t>
        </is>
      </c>
      <c r="B38" t="inlineStr">
        <is>
          <t>ST140</t>
        </is>
      </c>
      <c r="C38" t="inlineStr">
        <is>
          <t>터미널 높이 검사</t>
        </is>
      </c>
      <c r="D38" t="inlineStr">
        <is>
          <t>ST01-140-01</t>
        </is>
      </c>
      <c r="E38" t="inlineStr">
        <is>
          <t>365301XFB0</t>
        </is>
      </c>
      <c r="F38" t="inlineStr">
        <is>
          <t>Stator Assys(MV후륜)</t>
        </is>
      </c>
      <c r="G38" t="inlineStr">
        <is>
          <t>365301XFB0,SFZOT5B0086</t>
        </is>
      </c>
      <c r="H38" t="inlineStr">
        <is>
          <t>OK</t>
        </is>
      </c>
      <c r="I38" s="60" t="n">
        <v>46154.31143518518</v>
      </c>
      <c r="J38" t="n">
        <v>2</v>
      </c>
      <c r="K38" t="inlineStr">
        <is>
          <t>높이 측정 데이터#2</t>
        </is>
      </c>
      <c r="L38" t="inlineStr">
        <is>
          <t>T</t>
        </is>
      </c>
      <c r="M38" t="n">
        <v>-0.14</v>
      </c>
      <c r="R38" t="inlineStr">
        <is>
          <t>OK</t>
        </is>
      </c>
      <c r="S38" t="inlineStr">
        <is>
          <t>검사데이터_조회_터미널단자높이_260504~0602</t>
        </is>
      </c>
      <c r="T38" t="n">
        <v>8</v>
      </c>
      <c r="U38" t="inlineStr">
        <is>
          <t>2026-05-12|야간|LOT=365301XFB0,SFZOT5B0086</t>
        </is>
      </c>
      <c r="V38" t="inlineStr">
        <is>
          <t>2026-05-12</t>
        </is>
      </c>
      <c r="W38" t="inlineStr">
        <is>
          <t>date_block</t>
        </is>
      </c>
    </row>
    <row r="39">
      <c r="A39" t="inlineStr">
        <is>
          <t>ST01</t>
        </is>
      </c>
      <c r="B39" t="inlineStr">
        <is>
          <t>ST140</t>
        </is>
      </c>
      <c r="C39" t="inlineStr">
        <is>
          <t>터미널 높이 검사</t>
        </is>
      </c>
      <c r="D39" t="inlineStr">
        <is>
          <t>ST01-140-01</t>
        </is>
      </c>
      <c r="E39" t="inlineStr">
        <is>
          <t>365301XFB0</t>
        </is>
      </c>
      <c r="F39" t="inlineStr">
        <is>
          <t>Stator Assys(MV후륜)</t>
        </is>
      </c>
      <c r="G39" t="inlineStr">
        <is>
          <t>365301XFB0,SFZOT5B0086</t>
        </is>
      </c>
      <c r="H39" t="inlineStr">
        <is>
          <t>OK</t>
        </is>
      </c>
      <c r="I39" s="60" t="n">
        <v>46154.31143518518</v>
      </c>
      <c r="J39" t="n">
        <v>3</v>
      </c>
      <c r="K39" t="inlineStr">
        <is>
          <t>높이 측정 데이터#3</t>
        </is>
      </c>
      <c r="L39" t="inlineStr">
        <is>
          <t>T</t>
        </is>
      </c>
      <c r="M39" t="n">
        <v>-0.19</v>
      </c>
      <c r="R39" t="inlineStr">
        <is>
          <t>OK</t>
        </is>
      </c>
      <c r="S39" t="inlineStr">
        <is>
          <t>검사데이터_조회_터미널단자높이_260504~0602</t>
        </is>
      </c>
      <c r="T39" t="n">
        <v>8</v>
      </c>
      <c r="U39" t="inlineStr">
        <is>
          <t>2026-05-12|야간|LOT=365301XFB0,SFZOT5B0086</t>
        </is>
      </c>
      <c r="V39" t="inlineStr">
        <is>
          <t>2026-05-12</t>
        </is>
      </c>
      <c r="W39" t="inlineStr">
        <is>
          <t>date_block</t>
        </is>
      </c>
    </row>
    <row r="40">
      <c r="A40" t="inlineStr">
        <is>
          <t>ST01</t>
        </is>
      </c>
      <c r="B40" t="inlineStr">
        <is>
          <t>ST140</t>
        </is>
      </c>
      <c r="C40" t="inlineStr">
        <is>
          <t>터미널 높이 검사</t>
        </is>
      </c>
      <c r="D40" t="inlineStr">
        <is>
          <t>ST01-140-01</t>
        </is>
      </c>
      <c r="E40" t="inlineStr">
        <is>
          <t>365301XFB0</t>
        </is>
      </c>
      <c r="F40" t="inlineStr">
        <is>
          <t>Stator Assys(MV후륜)</t>
        </is>
      </c>
      <c r="G40" t="inlineStr">
        <is>
          <t>365301XFB0,SFZOT5B0086</t>
        </is>
      </c>
      <c r="H40" t="inlineStr">
        <is>
          <t>OK</t>
        </is>
      </c>
      <c r="I40" s="60" t="n">
        <v>46154.31143518518</v>
      </c>
      <c r="J40" t="n">
        <v>4</v>
      </c>
      <c r="K40" t="inlineStr">
        <is>
          <t>높이 측정 데이터#4</t>
        </is>
      </c>
      <c r="L40" t="inlineStr">
        <is>
          <t>T</t>
        </is>
      </c>
      <c r="M40" t="n">
        <v>-0.1</v>
      </c>
      <c r="R40" t="inlineStr">
        <is>
          <t>OK</t>
        </is>
      </c>
      <c r="S40" t="inlineStr">
        <is>
          <t>검사데이터_조회_터미널단자높이_260504~0602</t>
        </is>
      </c>
      <c r="T40" t="n">
        <v>8</v>
      </c>
      <c r="U40" t="inlineStr">
        <is>
          <t>2026-05-12|야간|LOT=365301XFB0,SFZOT5B0086</t>
        </is>
      </c>
      <c r="V40" t="inlineStr">
        <is>
          <t>2026-05-12</t>
        </is>
      </c>
      <c r="W40" t="inlineStr">
        <is>
          <t>date_block</t>
        </is>
      </c>
    </row>
    <row r="41">
      <c r="A41" t="inlineStr">
        <is>
          <t>ST01</t>
        </is>
      </c>
      <c r="B41" t="inlineStr">
        <is>
          <t>ST140</t>
        </is>
      </c>
      <c r="C41" t="inlineStr">
        <is>
          <t>터미널 높이 검사</t>
        </is>
      </c>
      <c r="D41" t="inlineStr">
        <is>
          <t>ST01-140-01</t>
        </is>
      </c>
      <c r="E41" t="inlineStr">
        <is>
          <t>365301XFB0</t>
        </is>
      </c>
      <c r="F41" t="inlineStr">
        <is>
          <t>Stator Assys(MV후륜)</t>
        </is>
      </c>
      <c r="G41" t="inlineStr">
        <is>
          <t>365301XFB0,SFZOT5B0086</t>
        </is>
      </c>
      <c r="H41" t="inlineStr">
        <is>
          <t>OK</t>
        </is>
      </c>
      <c r="I41" s="60" t="n">
        <v>46154.31143518518</v>
      </c>
      <c r="J41" t="n">
        <v>5</v>
      </c>
      <c r="K41" t="inlineStr">
        <is>
          <t>높이 측정 데이터#5</t>
        </is>
      </c>
      <c r="L41" t="inlineStr">
        <is>
          <t>T</t>
        </is>
      </c>
      <c r="M41" t="n">
        <v>-0.12</v>
      </c>
      <c r="R41" t="inlineStr">
        <is>
          <t>OK</t>
        </is>
      </c>
      <c r="S41" t="inlineStr">
        <is>
          <t>검사데이터_조회_터미널단자높이_260504~0602</t>
        </is>
      </c>
      <c r="T41" t="n">
        <v>8</v>
      </c>
      <c r="U41" t="inlineStr">
        <is>
          <t>2026-05-12|야간|LOT=365301XFB0,SFZOT5B0086</t>
        </is>
      </c>
      <c r="V41" t="inlineStr">
        <is>
          <t>2026-05-12</t>
        </is>
      </c>
      <c r="W41" t="inlineStr">
        <is>
          <t>date_block</t>
        </is>
      </c>
    </row>
    <row r="42">
      <c r="A42" t="inlineStr">
        <is>
          <t>ST01</t>
        </is>
      </c>
      <c r="B42" t="inlineStr">
        <is>
          <t>ST140</t>
        </is>
      </c>
      <c r="C42" t="inlineStr">
        <is>
          <t>터미널 높이 검사</t>
        </is>
      </c>
      <c r="D42" t="inlineStr">
        <is>
          <t>ST01-140-01</t>
        </is>
      </c>
      <c r="E42" t="inlineStr">
        <is>
          <t>365301XFB0</t>
        </is>
      </c>
      <c r="F42" t="inlineStr">
        <is>
          <t>Stator Assys(MV후륜)</t>
        </is>
      </c>
      <c r="G42" t="inlineStr">
        <is>
          <t>365301XFB0,SFZOT4X0034</t>
        </is>
      </c>
      <c r="H42" t="inlineStr">
        <is>
          <t>OK</t>
        </is>
      </c>
      <c r="I42" s="60" t="n">
        <v>46148.30561342592</v>
      </c>
      <c r="J42" t="n">
        <v>1</v>
      </c>
      <c r="K42" t="inlineStr">
        <is>
          <t>높이 측정 데이터#1</t>
        </is>
      </c>
      <c r="L42" t="inlineStr">
        <is>
          <t>T</t>
        </is>
      </c>
      <c r="M42" t="n">
        <v>0.29</v>
      </c>
      <c r="R42" t="inlineStr">
        <is>
          <t>OK</t>
        </is>
      </c>
      <c r="S42" t="inlineStr">
        <is>
          <t>검사데이터_조회_터미널단자높이_260504~0602</t>
        </is>
      </c>
      <c r="T42" t="n">
        <v>9</v>
      </c>
      <c r="U42" t="inlineStr">
        <is>
          <t>2026-05-06|야간|LOT=365301XFB0,SFZOT4X0034</t>
        </is>
      </c>
      <c r="V42" t="inlineStr">
        <is>
          <t>2026-05-06</t>
        </is>
      </c>
      <c r="W42" t="inlineStr">
        <is>
          <t>date_block</t>
        </is>
      </c>
    </row>
    <row r="43">
      <c r="A43" t="inlineStr">
        <is>
          <t>ST01</t>
        </is>
      </c>
      <c r="B43" t="inlineStr">
        <is>
          <t>ST140</t>
        </is>
      </c>
      <c r="C43" t="inlineStr">
        <is>
          <t>터미널 높이 검사</t>
        </is>
      </c>
      <c r="D43" t="inlineStr">
        <is>
          <t>ST01-140-01</t>
        </is>
      </c>
      <c r="E43" t="inlineStr">
        <is>
          <t>365301XFB0</t>
        </is>
      </c>
      <c r="F43" t="inlineStr">
        <is>
          <t>Stator Assys(MV후륜)</t>
        </is>
      </c>
      <c r="G43" t="inlineStr">
        <is>
          <t>365301XFB0,SFZOT4X0034</t>
        </is>
      </c>
      <c r="H43" t="inlineStr">
        <is>
          <t>OK</t>
        </is>
      </c>
      <c r="I43" s="60" t="n">
        <v>46148.30561342592</v>
      </c>
      <c r="J43" t="n">
        <v>2</v>
      </c>
      <c r="K43" t="inlineStr">
        <is>
          <t>높이 측정 데이터#2</t>
        </is>
      </c>
      <c r="L43" t="inlineStr">
        <is>
          <t>T</t>
        </is>
      </c>
      <c r="M43" t="n">
        <v>0.24</v>
      </c>
      <c r="R43" t="inlineStr">
        <is>
          <t>OK</t>
        </is>
      </c>
      <c r="S43" t="inlineStr">
        <is>
          <t>검사데이터_조회_터미널단자높이_260504~0602</t>
        </is>
      </c>
      <c r="T43" t="n">
        <v>9</v>
      </c>
      <c r="U43" t="inlineStr">
        <is>
          <t>2026-05-06|야간|LOT=365301XFB0,SFZOT4X0034</t>
        </is>
      </c>
      <c r="V43" t="inlineStr">
        <is>
          <t>2026-05-06</t>
        </is>
      </c>
      <c r="W43" t="inlineStr">
        <is>
          <t>date_block</t>
        </is>
      </c>
    </row>
    <row r="44">
      <c r="A44" t="inlineStr">
        <is>
          <t>ST01</t>
        </is>
      </c>
      <c r="B44" t="inlineStr">
        <is>
          <t>ST140</t>
        </is>
      </c>
      <c r="C44" t="inlineStr">
        <is>
          <t>터미널 높이 검사</t>
        </is>
      </c>
      <c r="D44" t="inlineStr">
        <is>
          <t>ST01-140-01</t>
        </is>
      </c>
      <c r="E44" t="inlineStr">
        <is>
          <t>365301XFB0</t>
        </is>
      </c>
      <c r="F44" t="inlineStr">
        <is>
          <t>Stator Assys(MV후륜)</t>
        </is>
      </c>
      <c r="G44" t="inlineStr">
        <is>
          <t>365301XFB0,SFZOT4X0034</t>
        </is>
      </c>
      <c r="H44" t="inlineStr">
        <is>
          <t>OK</t>
        </is>
      </c>
      <c r="I44" s="60" t="n">
        <v>46148.30561342592</v>
      </c>
      <c r="J44" t="n">
        <v>3</v>
      </c>
      <c r="K44" t="inlineStr">
        <is>
          <t>높이 측정 데이터#3</t>
        </is>
      </c>
      <c r="L44" t="inlineStr">
        <is>
          <t>T</t>
        </is>
      </c>
      <c r="M44" t="n">
        <v>0.11</v>
      </c>
      <c r="R44" t="inlineStr">
        <is>
          <t>OK</t>
        </is>
      </c>
      <c r="S44" t="inlineStr">
        <is>
          <t>검사데이터_조회_터미널단자높이_260504~0602</t>
        </is>
      </c>
      <c r="T44" t="n">
        <v>9</v>
      </c>
      <c r="U44" t="inlineStr">
        <is>
          <t>2026-05-06|야간|LOT=365301XFB0,SFZOT4X0034</t>
        </is>
      </c>
      <c r="V44" t="inlineStr">
        <is>
          <t>2026-05-06</t>
        </is>
      </c>
      <c r="W44" t="inlineStr">
        <is>
          <t>date_block</t>
        </is>
      </c>
    </row>
    <row r="45">
      <c r="A45" t="inlineStr">
        <is>
          <t>ST01</t>
        </is>
      </c>
      <c r="B45" t="inlineStr">
        <is>
          <t>ST140</t>
        </is>
      </c>
      <c r="C45" t="inlineStr">
        <is>
          <t>터미널 높이 검사</t>
        </is>
      </c>
      <c r="D45" t="inlineStr">
        <is>
          <t>ST01-140-01</t>
        </is>
      </c>
      <c r="E45" t="inlineStr">
        <is>
          <t>365301XFB0</t>
        </is>
      </c>
      <c r="F45" t="inlineStr">
        <is>
          <t>Stator Assys(MV후륜)</t>
        </is>
      </c>
      <c r="G45" t="inlineStr">
        <is>
          <t>365301XFB0,SFZOT4X0034</t>
        </is>
      </c>
      <c r="H45" t="inlineStr">
        <is>
          <t>OK</t>
        </is>
      </c>
      <c r="I45" s="60" t="n">
        <v>46148.30561342592</v>
      </c>
      <c r="J45" t="n">
        <v>4</v>
      </c>
      <c r="K45" t="inlineStr">
        <is>
          <t>높이 측정 데이터#4</t>
        </is>
      </c>
      <c r="L45" t="inlineStr">
        <is>
          <t>T</t>
        </is>
      </c>
      <c r="M45" t="n">
        <v>-0.27</v>
      </c>
      <c r="R45" t="inlineStr">
        <is>
          <t>OK</t>
        </is>
      </c>
      <c r="S45" t="inlineStr">
        <is>
          <t>검사데이터_조회_터미널단자높이_260504~0602</t>
        </is>
      </c>
      <c r="T45" t="n">
        <v>9</v>
      </c>
      <c r="U45" t="inlineStr">
        <is>
          <t>2026-05-06|야간|LOT=365301XFB0,SFZOT4X0034</t>
        </is>
      </c>
      <c r="V45" t="inlineStr">
        <is>
          <t>2026-05-06</t>
        </is>
      </c>
      <c r="W45" t="inlineStr">
        <is>
          <t>date_block</t>
        </is>
      </c>
    </row>
    <row r="46">
      <c r="A46" t="inlineStr">
        <is>
          <t>ST01</t>
        </is>
      </c>
      <c r="B46" t="inlineStr">
        <is>
          <t>ST140</t>
        </is>
      </c>
      <c r="C46" t="inlineStr">
        <is>
          <t>터미널 높이 검사</t>
        </is>
      </c>
      <c r="D46" t="inlineStr">
        <is>
          <t>ST01-140-01</t>
        </is>
      </c>
      <c r="E46" t="inlineStr">
        <is>
          <t>365301XFB0</t>
        </is>
      </c>
      <c r="F46" t="inlineStr">
        <is>
          <t>Stator Assys(MV후륜)</t>
        </is>
      </c>
      <c r="G46" t="inlineStr">
        <is>
          <t>365301XFB0,SFZOT4X0034</t>
        </is>
      </c>
      <c r="H46" t="inlineStr">
        <is>
          <t>OK</t>
        </is>
      </c>
      <c r="I46" s="60" t="n">
        <v>46148.30561342592</v>
      </c>
      <c r="J46" t="n">
        <v>5</v>
      </c>
      <c r="K46" t="inlineStr">
        <is>
          <t>높이 측정 데이터#5</t>
        </is>
      </c>
      <c r="L46" t="inlineStr">
        <is>
          <t>T</t>
        </is>
      </c>
      <c r="M46" t="n">
        <v>-0.55</v>
      </c>
      <c r="R46" t="inlineStr">
        <is>
          <t>OK</t>
        </is>
      </c>
      <c r="S46" t="inlineStr">
        <is>
          <t>검사데이터_조회_터미널단자높이_260504~0602</t>
        </is>
      </c>
      <c r="T46" t="n">
        <v>9</v>
      </c>
      <c r="U46" t="inlineStr">
        <is>
          <t>2026-05-06|야간|LOT=365301XFB0,SFZOT4X0034</t>
        </is>
      </c>
      <c r="V46" t="inlineStr">
        <is>
          <t>2026-05-06</t>
        </is>
      </c>
      <c r="W46" t="inlineStr">
        <is>
          <t>date_block</t>
        </is>
      </c>
    </row>
    <row r="47">
      <c r="A47" t="inlineStr">
        <is>
          <t>ST01</t>
        </is>
      </c>
      <c r="B47" t="inlineStr">
        <is>
          <t>ST140</t>
        </is>
      </c>
      <c r="C47" t="inlineStr">
        <is>
          <t>터미널 높이 검사</t>
        </is>
      </c>
      <c r="D47" t="inlineStr">
        <is>
          <t>ST01-140-01</t>
        </is>
      </c>
      <c r="E47" t="inlineStr">
        <is>
          <t>365301XFB0</t>
        </is>
      </c>
      <c r="F47" t="inlineStr">
        <is>
          <t>Stator Assys(MV후륜)</t>
        </is>
      </c>
      <c r="G47" t="inlineStr">
        <is>
          <t>365301XFB0,SFZOT5U0031</t>
        </is>
      </c>
      <c r="H47" t="inlineStr">
        <is>
          <t>OK</t>
        </is>
      </c>
      <c r="I47" s="60" t="n">
        <v>46174.33539351852</v>
      </c>
      <c r="J47" t="n">
        <v>1</v>
      </c>
      <c r="K47" t="inlineStr">
        <is>
          <t>높이 측정 데이터#1</t>
        </is>
      </c>
      <c r="L47" t="inlineStr">
        <is>
          <t>T</t>
        </is>
      </c>
      <c r="M47" t="n">
        <v>-0.18</v>
      </c>
      <c r="R47" t="inlineStr">
        <is>
          <t>OK</t>
        </is>
      </c>
      <c r="S47" t="inlineStr">
        <is>
          <t>검사데이터_조회_터미널단자높이_260504~0602</t>
        </is>
      </c>
      <c r="T47" t="n">
        <v>10</v>
      </c>
      <c r="U47" t="inlineStr">
        <is>
          <t>2026-06-01|주간|LOT=365301XFB0,SFZOT5U0031</t>
        </is>
      </c>
      <c r="V47" t="inlineStr">
        <is>
          <t>2026-06-01</t>
        </is>
      </c>
      <c r="W47" t="inlineStr">
        <is>
          <t>date_block</t>
        </is>
      </c>
    </row>
    <row r="48">
      <c r="A48" t="inlineStr">
        <is>
          <t>ST01</t>
        </is>
      </c>
      <c r="B48" t="inlineStr">
        <is>
          <t>ST140</t>
        </is>
      </c>
      <c r="C48" t="inlineStr">
        <is>
          <t>터미널 높이 검사</t>
        </is>
      </c>
      <c r="D48" t="inlineStr">
        <is>
          <t>ST01-140-01</t>
        </is>
      </c>
      <c r="E48" t="inlineStr">
        <is>
          <t>365301XFB0</t>
        </is>
      </c>
      <c r="F48" t="inlineStr">
        <is>
          <t>Stator Assys(MV후륜)</t>
        </is>
      </c>
      <c r="G48" t="inlineStr">
        <is>
          <t>365301XFB0,SFZOT5U0031</t>
        </is>
      </c>
      <c r="H48" t="inlineStr">
        <is>
          <t>OK</t>
        </is>
      </c>
      <c r="I48" s="60" t="n">
        <v>46174.33539351852</v>
      </c>
      <c r="J48" t="n">
        <v>2</v>
      </c>
      <c r="K48" t="inlineStr">
        <is>
          <t>높이 측정 데이터#2</t>
        </is>
      </c>
      <c r="L48" t="inlineStr">
        <is>
          <t>T</t>
        </is>
      </c>
      <c r="M48" t="n">
        <v>-0.03</v>
      </c>
      <c r="R48" t="inlineStr">
        <is>
          <t>OK</t>
        </is>
      </c>
      <c r="S48" t="inlineStr">
        <is>
          <t>검사데이터_조회_터미널단자높이_260504~0602</t>
        </is>
      </c>
      <c r="T48" t="n">
        <v>10</v>
      </c>
      <c r="U48" t="inlineStr">
        <is>
          <t>2026-06-01|주간|LOT=365301XFB0,SFZOT5U0031</t>
        </is>
      </c>
      <c r="V48" t="inlineStr">
        <is>
          <t>2026-06-01</t>
        </is>
      </c>
      <c r="W48" t="inlineStr">
        <is>
          <t>date_block</t>
        </is>
      </c>
    </row>
    <row r="49">
      <c r="A49" t="inlineStr">
        <is>
          <t>ST01</t>
        </is>
      </c>
      <c r="B49" t="inlineStr">
        <is>
          <t>ST140</t>
        </is>
      </c>
      <c r="C49" t="inlineStr">
        <is>
          <t>터미널 높이 검사</t>
        </is>
      </c>
      <c r="D49" t="inlineStr">
        <is>
          <t>ST01-140-01</t>
        </is>
      </c>
      <c r="E49" t="inlineStr">
        <is>
          <t>365301XFB0</t>
        </is>
      </c>
      <c r="F49" t="inlineStr">
        <is>
          <t>Stator Assys(MV후륜)</t>
        </is>
      </c>
      <c r="G49" t="inlineStr">
        <is>
          <t>365301XFB0,SFZOT5U0031</t>
        </is>
      </c>
      <c r="H49" t="inlineStr">
        <is>
          <t>OK</t>
        </is>
      </c>
      <c r="I49" s="60" t="n">
        <v>46174.33539351852</v>
      </c>
      <c r="J49" t="n">
        <v>3</v>
      </c>
      <c r="K49" t="inlineStr">
        <is>
          <t>높이 측정 데이터#3</t>
        </is>
      </c>
      <c r="L49" t="inlineStr">
        <is>
          <t>T</t>
        </is>
      </c>
      <c r="M49" t="n">
        <v>-0.14</v>
      </c>
      <c r="R49" t="inlineStr">
        <is>
          <t>OK</t>
        </is>
      </c>
      <c r="S49" t="inlineStr">
        <is>
          <t>검사데이터_조회_터미널단자높이_260504~0602</t>
        </is>
      </c>
      <c r="T49" t="n">
        <v>10</v>
      </c>
      <c r="U49" t="inlineStr">
        <is>
          <t>2026-06-01|주간|LOT=365301XFB0,SFZOT5U0031</t>
        </is>
      </c>
      <c r="V49" t="inlineStr">
        <is>
          <t>2026-06-01</t>
        </is>
      </c>
      <c r="W49" t="inlineStr">
        <is>
          <t>date_block</t>
        </is>
      </c>
    </row>
    <row r="50">
      <c r="A50" t="inlineStr">
        <is>
          <t>ST01</t>
        </is>
      </c>
      <c r="B50" t="inlineStr">
        <is>
          <t>ST140</t>
        </is>
      </c>
      <c r="C50" t="inlineStr">
        <is>
          <t>터미널 높이 검사</t>
        </is>
      </c>
      <c r="D50" t="inlineStr">
        <is>
          <t>ST01-140-01</t>
        </is>
      </c>
      <c r="E50" t="inlineStr">
        <is>
          <t>365301XFB0</t>
        </is>
      </c>
      <c r="F50" t="inlineStr">
        <is>
          <t>Stator Assys(MV후륜)</t>
        </is>
      </c>
      <c r="G50" t="inlineStr">
        <is>
          <t>365301XFB0,SFZOT5U0031</t>
        </is>
      </c>
      <c r="H50" t="inlineStr">
        <is>
          <t>OK</t>
        </is>
      </c>
      <c r="I50" s="60" t="n">
        <v>46174.33539351852</v>
      </c>
      <c r="J50" t="n">
        <v>4</v>
      </c>
      <c r="K50" t="inlineStr">
        <is>
          <t>높이 측정 데이터#4</t>
        </is>
      </c>
      <c r="L50" t="inlineStr">
        <is>
          <t>T</t>
        </is>
      </c>
      <c r="M50" t="n">
        <v>-0.27</v>
      </c>
      <c r="R50" t="inlineStr">
        <is>
          <t>OK</t>
        </is>
      </c>
      <c r="S50" t="inlineStr">
        <is>
          <t>검사데이터_조회_터미널단자높이_260504~0602</t>
        </is>
      </c>
      <c r="T50" t="n">
        <v>10</v>
      </c>
      <c r="U50" t="inlineStr">
        <is>
          <t>2026-06-01|주간|LOT=365301XFB0,SFZOT5U0031</t>
        </is>
      </c>
      <c r="V50" t="inlineStr">
        <is>
          <t>2026-06-01</t>
        </is>
      </c>
      <c r="W50" t="inlineStr">
        <is>
          <t>date_block</t>
        </is>
      </c>
    </row>
    <row r="51">
      <c r="A51" t="inlineStr">
        <is>
          <t>ST01</t>
        </is>
      </c>
      <c r="B51" t="inlineStr">
        <is>
          <t>ST140</t>
        </is>
      </c>
      <c r="C51" t="inlineStr">
        <is>
          <t>터미널 높이 검사</t>
        </is>
      </c>
      <c r="D51" t="inlineStr">
        <is>
          <t>ST01-140-01</t>
        </is>
      </c>
      <c r="E51" t="inlineStr">
        <is>
          <t>365301XFB0</t>
        </is>
      </c>
      <c r="F51" t="inlineStr">
        <is>
          <t>Stator Assys(MV후륜)</t>
        </is>
      </c>
      <c r="G51" t="inlineStr">
        <is>
          <t>365301XFB0,SFZOT5U0031</t>
        </is>
      </c>
      <c r="H51" t="inlineStr">
        <is>
          <t>OK</t>
        </is>
      </c>
      <c r="I51" s="60" t="n">
        <v>46174.33539351852</v>
      </c>
      <c r="J51" t="n">
        <v>5</v>
      </c>
      <c r="K51" t="inlineStr">
        <is>
          <t>높이 측정 데이터#5</t>
        </is>
      </c>
      <c r="L51" t="inlineStr">
        <is>
          <t>T</t>
        </is>
      </c>
      <c r="M51" t="n">
        <v>-0.24</v>
      </c>
      <c r="R51" t="inlineStr">
        <is>
          <t>OK</t>
        </is>
      </c>
      <c r="S51" t="inlineStr">
        <is>
          <t>검사데이터_조회_터미널단자높이_260504~0602</t>
        </is>
      </c>
      <c r="T51" t="n">
        <v>10</v>
      </c>
      <c r="U51" t="inlineStr">
        <is>
          <t>2026-06-01|주간|LOT=365301XFB0,SFZOT5U0031</t>
        </is>
      </c>
      <c r="V51" t="inlineStr">
        <is>
          <t>2026-06-01</t>
        </is>
      </c>
      <c r="W51" t="inlineStr">
        <is>
          <t>date_block</t>
        </is>
      </c>
    </row>
    <row r="52">
      <c r="A52" t="inlineStr">
        <is>
          <t>ST01</t>
        </is>
      </c>
      <c r="B52" t="inlineStr">
        <is>
          <t>ST140</t>
        </is>
      </c>
      <c r="C52" t="inlineStr">
        <is>
          <t>터미널 높이 검사</t>
        </is>
      </c>
      <c r="D52" t="inlineStr">
        <is>
          <t>ST01-140-01</t>
        </is>
      </c>
      <c r="E52" t="inlineStr">
        <is>
          <t>365301XFB0</t>
        </is>
      </c>
      <c r="F52" t="inlineStr">
        <is>
          <t>Stator Assys(MV후륜)</t>
        </is>
      </c>
      <c r="G52" t="inlineStr">
        <is>
          <t>365301XFB0,SFZOT4U0151</t>
        </is>
      </c>
      <c r="H52" t="inlineStr">
        <is>
          <t>OK</t>
        </is>
      </c>
      <c r="I52" s="60" t="n">
        <v>46156.32921296296</v>
      </c>
      <c r="J52" t="n">
        <v>1</v>
      </c>
      <c r="K52" t="inlineStr">
        <is>
          <t>높이 측정 데이터#1</t>
        </is>
      </c>
      <c r="L52" t="inlineStr">
        <is>
          <t>T</t>
        </is>
      </c>
      <c r="M52" t="n">
        <v>-0.25</v>
      </c>
      <c r="R52" t="inlineStr">
        <is>
          <t>OK</t>
        </is>
      </c>
      <c r="S52" t="inlineStr">
        <is>
          <t>검사데이터_조회_터미널단자높이_260504~0602</t>
        </is>
      </c>
      <c r="T52" t="n">
        <v>11</v>
      </c>
      <c r="U52" t="inlineStr">
        <is>
          <t>2026-05-14|야간|LOT=365301XFB0,SFZOT4U0151</t>
        </is>
      </c>
      <c r="V52" t="inlineStr">
        <is>
          <t>2026-05-14</t>
        </is>
      </c>
      <c r="W52" t="inlineStr">
        <is>
          <t>date_block</t>
        </is>
      </c>
    </row>
    <row r="53">
      <c r="A53" t="inlineStr">
        <is>
          <t>ST01</t>
        </is>
      </c>
      <c r="B53" t="inlineStr">
        <is>
          <t>ST140</t>
        </is>
      </c>
      <c r="C53" t="inlineStr">
        <is>
          <t>터미널 높이 검사</t>
        </is>
      </c>
      <c r="D53" t="inlineStr">
        <is>
          <t>ST01-140-01</t>
        </is>
      </c>
      <c r="E53" t="inlineStr">
        <is>
          <t>365301XFB0</t>
        </is>
      </c>
      <c r="F53" t="inlineStr">
        <is>
          <t>Stator Assys(MV후륜)</t>
        </is>
      </c>
      <c r="G53" t="inlineStr">
        <is>
          <t>365301XFB0,SFZOT4U0151</t>
        </is>
      </c>
      <c r="H53" t="inlineStr">
        <is>
          <t>OK</t>
        </is>
      </c>
      <c r="I53" s="60" t="n">
        <v>46156.32921296296</v>
      </c>
      <c r="J53" t="n">
        <v>2</v>
      </c>
      <c r="K53" t="inlineStr">
        <is>
          <t>높이 측정 데이터#2</t>
        </is>
      </c>
      <c r="L53" t="inlineStr">
        <is>
          <t>T</t>
        </is>
      </c>
      <c r="M53" t="n">
        <v>0.16</v>
      </c>
      <c r="R53" t="inlineStr">
        <is>
          <t>OK</t>
        </is>
      </c>
      <c r="S53" t="inlineStr">
        <is>
          <t>검사데이터_조회_터미널단자높이_260504~0602</t>
        </is>
      </c>
      <c r="T53" t="n">
        <v>11</v>
      </c>
      <c r="U53" t="inlineStr">
        <is>
          <t>2026-05-14|야간|LOT=365301XFB0,SFZOT4U0151</t>
        </is>
      </c>
      <c r="V53" t="inlineStr">
        <is>
          <t>2026-05-14</t>
        </is>
      </c>
      <c r="W53" t="inlineStr">
        <is>
          <t>date_block</t>
        </is>
      </c>
    </row>
    <row r="54">
      <c r="A54" t="inlineStr">
        <is>
          <t>ST01</t>
        </is>
      </c>
      <c r="B54" t="inlineStr">
        <is>
          <t>ST140</t>
        </is>
      </c>
      <c r="C54" t="inlineStr">
        <is>
          <t>터미널 높이 검사</t>
        </is>
      </c>
      <c r="D54" t="inlineStr">
        <is>
          <t>ST01-140-01</t>
        </is>
      </c>
      <c r="E54" t="inlineStr">
        <is>
          <t>365301XFB0</t>
        </is>
      </c>
      <c r="F54" t="inlineStr">
        <is>
          <t>Stator Assys(MV후륜)</t>
        </is>
      </c>
      <c r="G54" t="inlineStr">
        <is>
          <t>365301XFB0,SFZOT4U0151</t>
        </is>
      </c>
      <c r="H54" t="inlineStr">
        <is>
          <t>OK</t>
        </is>
      </c>
      <c r="I54" s="60" t="n">
        <v>46156.32921296296</v>
      </c>
      <c r="J54" t="n">
        <v>3</v>
      </c>
      <c r="K54" t="inlineStr">
        <is>
          <t>높이 측정 데이터#3</t>
        </is>
      </c>
      <c r="L54" t="inlineStr">
        <is>
          <t>T</t>
        </is>
      </c>
      <c r="M54" t="n">
        <v>0.54</v>
      </c>
      <c r="R54" t="inlineStr">
        <is>
          <t>OK</t>
        </is>
      </c>
      <c r="S54" t="inlineStr">
        <is>
          <t>검사데이터_조회_터미널단자높이_260504~0602</t>
        </is>
      </c>
      <c r="T54" t="n">
        <v>11</v>
      </c>
      <c r="U54" t="inlineStr">
        <is>
          <t>2026-05-14|야간|LOT=365301XFB0,SFZOT4U0151</t>
        </is>
      </c>
      <c r="V54" t="inlineStr">
        <is>
          <t>2026-05-14</t>
        </is>
      </c>
      <c r="W54" t="inlineStr">
        <is>
          <t>date_block</t>
        </is>
      </c>
    </row>
    <row r="55">
      <c r="A55" t="inlineStr">
        <is>
          <t>ST01</t>
        </is>
      </c>
      <c r="B55" t="inlineStr">
        <is>
          <t>ST140</t>
        </is>
      </c>
      <c r="C55" t="inlineStr">
        <is>
          <t>터미널 높이 검사</t>
        </is>
      </c>
      <c r="D55" t="inlineStr">
        <is>
          <t>ST01-140-01</t>
        </is>
      </c>
      <c r="E55" t="inlineStr">
        <is>
          <t>365301XFB0</t>
        </is>
      </c>
      <c r="F55" t="inlineStr">
        <is>
          <t>Stator Assys(MV후륜)</t>
        </is>
      </c>
      <c r="G55" t="inlineStr">
        <is>
          <t>365301XFB0,SFZOT4U0151</t>
        </is>
      </c>
      <c r="H55" t="inlineStr">
        <is>
          <t>OK</t>
        </is>
      </c>
      <c r="I55" s="60" t="n">
        <v>46156.32921296296</v>
      </c>
      <c r="J55" t="n">
        <v>4</v>
      </c>
      <c r="K55" t="inlineStr">
        <is>
          <t>높이 측정 데이터#4</t>
        </is>
      </c>
      <c r="L55" t="inlineStr">
        <is>
          <t>T</t>
        </is>
      </c>
      <c r="M55" t="n">
        <v>0.13</v>
      </c>
      <c r="R55" t="inlineStr">
        <is>
          <t>OK</t>
        </is>
      </c>
      <c r="S55" t="inlineStr">
        <is>
          <t>검사데이터_조회_터미널단자높이_260504~0602</t>
        </is>
      </c>
      <c r="T55" t="n">
        <v>11</v>
      </c>
      <c r="U55" t="inlineStr">
        <is>
          <t>2026-05-14|야간|LOT=365301XFB0,SFZOT4U0151</t>
        </is>
      </c>
      <c r="V55" t="inlineStr">
        <is>
          <t>2026-05-14</t>
        </is>
      </c>
      <c r="W55" t="inlineStr">
        <is>
          <t>date_block</t>
        </is>
      </c>
    </row>
    <row r="56">
      <c r="A56" t="inlineStr">
        <is>
          <t>ST01</t>
        </is>
      </c>
      <c r="B56" t="inlineStr">
        <is>
          <t>ST140</t>
        </is>
      </c>
      <c r="C56" t="inlineStr">
        <is>
          <t>터미널 높이 검사</t>
        </is>
      </c>
      <c r="D56" t="inlineStr">
        <is>
          <t>ST01-140-01</t>
        </is>
      </c>
      <c r="E56" t="inlineStr">
        <is>
          <t>365301XFB0</t>
        </is>
      </c>
      <c r="F56" t="inlineStr">
        <is>
          <t>Stator Assys(MV후륜)</t>
        </is>
      </c>
      <c r="G56" t="inlineStr">
        <is>
          <t>365301XFB0,SFZOT4U0151</t>
        </is>
      </c>
      <c r="H56" t="inlineStr">
        <is>
          <t>OK</t>
        </is>
      </c>
      <c r="I56" s="60" t="n">
        <v>46156.32921296296</v>
      </c>
      <c r="J56" t="n">
        <v>5</v>
      </c>
      <c r="K56" t="inlineStr">
        <is>
          <t>높이 측정 데이터#5</t>
        </is>
      </c>
      <c r="L56" t="inlineStr">
        <is>
          <t>T</t>
        </is>
      </c>
      <c r="M56" t="n">
        <v>-0.09</v>
      </c>
      <c r="R56" t="inlineStr">
        <is>
          <t>OK</t>
        </is>
      </c>
      <c r="S56" t="inlineStr">
        <is>
          <t>검사데이터_조회_터미널단자높이_260504~0602</t>
        </is>
      </c>
      <c r="T56" t="n">
        <v>11</v>
      </c>
      <c r="U56" t="inlineStr">
        <is>
          <t>2026-05-14|야간|LOT=365301XFB0,SFZOT4U0151</t>
        </is>
      </c>
      <c r="V56" t="inlineStr">
        <is>
          <t>2026-05-14</t>
        </is>
      </c>
      <c r="W56" t="inlineStr">
        <is>
          <t>date_block</t>
        </is>
      </c>
    </row>
    <row r="57">
      <c r="A57" t="inlineStr">
        <is>
          <t>ST01</t>
        </is>
      </c>
      <c r="B57" t="inlineStr">
        <is>
          <t>ST140</t>
        </is>
      </c>
      <c r="C57" t="inlineStr">
        <is>
          <t>터미널 높이 검사</t>
        </is>
      </c>
      <c r="D57" t="inlineStr">
        <is>
          <t>ST01-140-01</t>
        </is>
      </c>
      <c r="E57" t="inlineStr">
        <is>
          <t>365301XFB0</t>
        </is>
      </c>
      <c r="F57" t="inlineStr">
        <is>
          <t>Stator Assys(MV후륜)</t>
        </is>
      </c>
      <c r="G57" t="inlineStr">
        <is>
          <t>365301XFB0,SFZOT570015</t>
        </is>
      </c>
      <c r="H57" t="inlineStr">
        <is>
          <t>OK</t>
        </is>
      </c>
      <c r="I57" s="60" t="n">
        <v>46150.31342592592</v>
      </c>
      <c r="J57" t="n">
        <v>1</v>
      </c>
      <c r="K57" t="inlineStr">
        <is>
          <t>높이 측정 데이터#1</t>
        </is>
      </c>
      <c r="L57" t="inlineStr">
        <is>
          <t>T</t>
        </is>
      </c>
      <c r="M57" t="n">
        <v>-0.58</v>
      </c>
      <c r="R57" t="inlineStr">
        <is>
          <t>OK</t>
        </is>
      </c>
      <c r="S57" t="inlineStr">
        <is>
          <t>검사데이터_조회_터미널단자높이_260504~0602</t>
        </is>
      </c>
      <c r="T57" t="n">
        <v>12</v>
      </c>
      <c r="U57" t="inlineStr">
        <is>
          <t>2026-05-08|야간|LOT=365301XFB0,SFZOT570015</t>
        </is>
      </c>
      <c r="V57" t="inlineStr">
        <is>
          <t>2026-05-08</t>
        </is>
      </c>
      <c r="W57" t="inlineStr">
        <is>
          <t>date_block</t>
        </is>
      </c>
    </row>
    <row r="58">
      <c r="A58" t="inlineStr">
        <is>
          <t>ST01</t>
        </is>
      </c>
      <c r="B58" t="inlineStr">
        <is>
          <t>ST140</t>
        </is>
      </c>
      <c r="C58" t="inlineStr">
        <is>
          <t>터미널 높이 검사</t>
        </is>
      </c>
      <c r="D58" t="inlineStr">
        <is>
          <t>ST01-140-01</t>
        </is>
      </c>
      <c r="E58" t="inlineStr">
        <is>
          <t>365301XFB0</t>
        </is>
      </c>
      <c r="F58" t="inlineStr">
        <is>
          <t>Stator Assys(MV후륜)</t>
        </is>
      </c>
      <c r="G58" t="inlineStr">
        <is>
          <t>365301XFB0,SFZOT570015</t>
        </is>
      </c>
      <c r="H58" t="inlineStr">
        <is>
          <t>OK</t>
        </is>
      </c>
      <c r="I58" s="60" t="n">
        <v>46150.31342592592</v>
      </c>
      <c r="J58" t="n">
        <v>2</v>
      </c>
      <c r="K58" t="inlineStr">
        <is>
          <t>높이 측정 데이터#2</t>
        </is>
      </c>
      <c r="L58" t="inlineStr">
        <is>
          <t>T</t>
        </is>
      </c>
      <c r="M58" t="n">
        <v>-0.35</v>
      </c>
      <c r="R58" t="inlineStr">
        <is>
          <t>OK</t>
        </is>
      </c>
      <c r="S58" t="inlineStr">
        <is>
          <t>검사데이터_조회_터미널단자높이_260504~0602</t>
        </is>
      </c>
      <c r="T58" t="n">
        <v>12</v>
      </c>
      <c r="U58" t="inlineStr">
        <is>
          <t>2026-05-08|야간|LOT=365301XFB0,SFZOT570015</t>
        </is>
      </c>
      <c r="V58" t="inlineStr">
        <is>
          <t>2026-05-08</t>
        </is>
      </c>
      <c r="W58" t="inlineStr">
        <is>
          <t>date_block</t>
        </is>
      </c>
    </row>
    <row r="59">
      <c r="A59" t="inlineStr">
        <is>
          <t>ST01</t>
        </is>
      </c>
      <c r="B59" t="inlineStr">
        <is>
          <t>ST140</t>
        </is>
      </c>
      <c r="C59" t="inlineStr">
        <is>
          <t>터미널 높이 검사</t>
        </is>
      </c>
      <c r="D59" t="inlineStr">
        <is>
          <t>ST01-140-01</t>
        </is>
      </c>
      <c r="E59" t="inlineStr">
        <is>
          <t>365301XFB0</t>
        </is>
      </c>
      <c r="F59" t="inlineStr">
        <is>
          <t>Stator Assys(MV후륜)</t>
        </is>
      </c>
      <c r="G59" t="inlineStr">
        <is>
          <t>365301XFB0,SFZOT570015</t>
        </is>
      </c>
      <c r="H59" t="inlineStr">
        <is>
          <t>OK</t>
        </is>
      </c>
      <c r="I59" s="60" t="n">
        <v>46150.31342592592</v>
      </c>
      <c r="J59" t="n">
        <v>3</v>
      </c>
      <c r="K59" t="inlineStr">
        <is>
          <t>높이 측정 데이터#3</t>
        </is>
      </c>
      <c r="L59" t="inlineStr">
        <is>
          <t>T</t>
        </is>
      </c>
      <c r="M59" t="n">
        <v>-0.3</v>
      </c>
      <c r="R59" t="inlineStr">
        <is>
          <t>OK</t>
        </is>
      </c>
      <c r="S59" t="inlineStr">
        <is>
          <t>검사데이터_조회_터미널단자높이_260504~0602</t>
        </is>
      </c>
      <c r="T59" t="n">
        <v>12</v>
      </c>
      <c r="U59" t="inlineStr">
        <is>
          <t>2026-05-08|야간|LOT=365301XFB0,SFZOT570015</t>
        </is>
      </c>
      <c r="V59" t="inlineStr">
        <is>
          <t>2026-05-08</t>
        </is>
      </c>
      <c r="W59" t="inlineStr">
        <is>
          <t>date_block</t>
        </is>
      </c>
    </row>
    <row r="60">
      <c r="A60" t="inlineStr">
        <is>
          <t>ST01</t>
        </is>
      </c>
      <c r="B60" t="inlineStr">
        <is>
          <t>ST140</t>
        </is>
      </c>
      <c r="C60" t="inlineStr">
        <is>
          <t>터미널 높이 검사</t>
        </is>
      </c>
      <c r="D60" t="inlineStr">
        <is>
          <t>ST01-140-01</t>
        </is>
      </c>
      <c r="E60" t="inlineStr">
        <is>
          <t>365301XFB0</t>
        </is>
      </c>
      <c r="F60" t="inlineStr">
        <is>
          <t>Stator Assys(MV후륜)</t>
        </is>
      </c>
      <c r="G60" t="inlineStr">
        <is>
          <t>365301XFB0,SFZOT570015</t>
        </is>
      </c>
      <c r="H60" t="inlineStr">
        <is>
          <t>OK</t>
        </is>
      </c>
      <c r="I60" s="60" t="n">
        <v>46150.31342592592</v>
      </c>
      <c r="J60" t="n">
        <v>4</v>
      </c>
      <c r="K60" t="inlineStr">
        <is>
          <t>높이 측정 데이터#4</t>
        </is>
      </c>
      <c r="L60" t="inlineStr">
        <is>
          <t>T</t>
        </is>
      </c>
      <c r="M60" t="n">
        <v>-0.26</v>
      </c>
      <c r="R60" t="inlineStr">
        <is>
          <t>OK</t>
        </is>
      </c>
      <c r="S60" t="inlineStr">
        <is>
          <t>검사데이터_조회_터미널단자높이_260504~0602</t>
        </is>
      </c>
      <c r="T60" t="n">
        <v>12</v>
      </c>
      <c r="U60" t="inlineStr">
        <is>
          <t>2026-05-08|야간|LOT=365301XFB0,SFZOT570015</t>
        </is>
      </c>
      <c r="V60" t="inlineStr">
        <is>
          <t>2026-05-08</t>
        </is>
      </c>
      <c r="W60" t="inlineStr">
        <is>
          <t>date_block</t>
        </is>
      </c>
    </row>
    <row r="61">
      <c r="A61" t="inlineStr">
        <is>
          <t>ST01</t>
        </is>
      </c>
      <c r="B61" t="inlineStr">
        <is>
          <t>ST140</t>
        </is>
      </c>
      <c r="C61" t="inlineStr">
        <is>
          <t>터미널 높이 검사</t>
        </is>
      </c>
      <c r="D61" t="inlineStr">
        <is>
          <t>ST01-140-01</t>
        </is>
      </c>
      <c r="E61" t="inlineStr">
        <is>
          <t>365301XFB0</t>
        </is>
      </c>
      <c r="F61" t="inlineStr">
        <is>
          <t>Stator Assys(MV후륜)</t>
        </is>
      </c>
      <c r="G61" t="inlineStr">
        <is>
          <t>365301XFB0,SFZOT570015</t>
        </is>
      </c>
      <c r="H61" t="inlineStr">
        <is>
          <t>OK</t>
        </is>
      </c>
      <c r="I61" s="60" t="n">
        <v>46150.31342592592</v>
      </c>
      <c r="J61" t="n">
        <v>5</v>
      </c>
      <c r="K61" t="inlineStr">
        <is>
          <t>높이 측정 데이터#5</t>
        </is>
      </c>
      <c r="L61" t="inlineStr">
        <is>
          <t>T</t>
        </is>
      </c>
      <c r="M61" t="n">
        <v>-0.23</v>
      </c>
      <c r="R61" t="inlineStr">
        <is>
          <t>OK</t>
        </is>
      </c>
      <c r="S61" t="inlineStr">
        <is>
          <t>검사데이터_조회_터미널단자높이_260504~0602</t>
        </is>
      </c>
      <c r="T61" t="n">
        <v>12</v>
      </c>
      <c r="U61" t="inlineStr">
        <is>
          <t>2026-05-08|야간|LOT=365301XFB0,SFZOT570015</t>
        </is>
      </c>
      <c r="V61" t="inlineStr">
        <is>
          <t>2026-05-08</t>
        </is>
      </c>
      <c r="W61" t="inlineStr">
        <is>
          <t>date_block</t>
        </is>
      </c>
    </row>
    <row r="62">
      <c r="A62" t="inlineStr">
        <is>
          <t>ST01</t>
        </is>
      </c>
      <c r="B62" t="inlineStr">
        <is>
          <t>ST140</t>
        </is>
      </c>
      <c r="C62" t="inlineStr">
        <is>
          <t>터미널 높이 검사</t>
        </is>
      </c>
      <c r="D62" t="inlineStr">
        <is>
          <t>ST01-140-01</t>
        </is>
      </c>
      <c r="E62" t="inlineStr">
        <is>
          <t>365301XFB0</t>
        </is>
      </c>
      <c r="F62" t="inlineStr">
        <is>
          <t>Stator Assys(MV후륜)</t>
        </is>
      </c>
      <c r="G62" t="inlineStr">
        <is>
          <t>365301XFB0,SFZOT5C0105</t>
        </is>
      </c>
      <c r="H62" t="inlineStr">
        <is>
          <t>OK</t>
        </is>
      </c>
      <c r="I62" s="60" t="n">
        <v>46155.48244212963</v>
      </c>
      <c r="J62" t="n">
        <v>1</v>
      </c>
      <c r="K62" t="inlineStr">
        <is>
          <t>높이 측정 데이터#1</t>
        </is>
      </c>
      <c r="L62" t="inlineStr">
        <is>
          <t>T</t>
        </is>
      </c>
      <c r="M62" t="n">
        <v>-0.11</v>
      </c>
      <c r="R62" t="inlineStr">
        <is>
          <t>OK</t>
        </is>
      </c>
      <c r="S62" t="inlineStr">
        <is>
          <t>검사데이터_조회_터미널단자높이_260504~0602</t>
        </is>
      </c>
      <c r="T62" t="n">
        <v>13</v>
      </c>
      <c r="U62" t="inlineStr">
        <is>
          <t>2026-05-13|주간|LOT=365301XFB0,SFZOT5C0105</t>
        </is>
      </c>
      <c r="V62" t="inlineStr">
        <is>
          <t>2026-05-13</t>
        </is>
      </c>
      <c r="W62" t="inlineStr">
        <is>
          <t>date_block</t>
        </is>
      </c>
    </row>
    <row r="63">
      <c r="A63" t="inlineStr">
        <is>
          <t>ST01</t>
        </is>
      </c>
      <c r="B63" t="inlineStr">
        <is>
          <t>ST140</t>
        </is>
      </c>
      <c r="C63" t="inlineStr">
        <is>
          <t>터미널 높이 검사</t>
        </is>
      </c>
      <c r="D63" t="inlineStr">
        <is>
          <t>ST01-140-01</t>
        </is>
      </c>
      <c r="E63" t="inlineStr">
        <is>
          <t>365301XFB0</t>
        </is>
      </c>
      <c r="F63" t="inlineStr">
        <is>
          <t>Stator Assys(MV후륜)</t>
        </is>
      </c>
      <c r="G63" t="inlineStr">
        <is>
          <t>365301XFB0,SFZOT5C0105</t>
        </is>
      </c>
      <c r="H63" t="inlineStr">
        <is>
          <t>OK</t>
        </is>
      </c>
      <c r="I63" s="60" t="n">
        <v>46155.48244212963</v>
      </c>
      <c r="J63" t="n">
        <v>2</v>
      </c>
      <c r="K63" t="inlineStr">
        <is>
          <t>높이 측정 데이터#2</t>
        </is>
      </c>
      <c r="L63" t="inlineStr">
        <is>
          <t>T</t>
        </is>
      </c>
      <c r="M63" t="n">
        <v>0.06</v>
      </c>
      <c r="R63" t="inlineStr">
        <is>
          <t>OK</t>
        </is>
      </c>
      <c r="S63" t="inlineStr">
        <is>
          <t>검사데이터_조회_터미널단자높이_260504~0602</t>
        </is>
      </c>
      <c r="T63" t="n">
        <v>13</v>
      </c>
      <c r="U63" t="inlineStr">
        <is>
          <t>2026-05-13|주간|LOT=365301XFB0,SFZOT5C0105</t>
        </is>
      </c>
      <c r="V63" t="inlineStr">
        <is>
          <t>2026-05-13</t>
        </is>
      </c>
      <c r="W63" t="inlineStr">
        <is>
          <t>date_block</t>
        </is>
      </c>
    </row>
    <row r="64">
      <c r="A64" t="inlineStr">
        <is>
          <t>ST01</t>
        </is>
      </c>
      <c r="B64" t="inlineStr">
        <is>
          <t>ST140</t>
        </is>
      </c>
      <c r="C64" t="inlineStr">
        <is>
          <t>터미널 높이 검사</t>
        </is>
      </c>
      <c r="D64" t="inlineStr">
        <is>
          <t>ST01-140-01</t>
        </is>
      </c>
      <c r="E64" t="inlineStr">
        <is>
          <t>365301XFB0</t>
        </is>
      </c>
      <c r="F64" t="inlineStr">
        <is>
          <t>Stator Assys(MV후륜)</t>
        </is>
      </c>
      <c r="G64" t="inlineStr">
        <is>
          <t>365301XFB0,SFZOT5C0105</t>
        </is>
      </c>
      <c r="H64" t="inlineStr">
        <is>
          <t>OK</t>
        </is>
      </c>
      <c r="I64" s="60" t="n">
        <v>46155.48244212963</v>
      </c>
      <c r="J64" t="n">
        <v>3</v>
      </c>
      <c r="K64" t="inlineStr">
        <is>
          <t>높이 측정 데이터#3</t>
        </is>
      </c>
      <c r="L64" t="inlineStr">
        <is>
          <t>T</t>
        </is>
      </c>
      <c r="M64" t="n">
        <v>-0.15</v>
      </c>
      <c r="R64" t="inlineStr">
        <is>
          <t>OK</t>
        </is>
      </c>
      <c r="S64" t="inlineStr">
        <is>
          <t>검사데이터_조회_터미널단자높이_260504~0602</t>
        </is>
      </c>
      <c r="T64" t="n">
        <v>13</v>
      </c>
      <c r="U64" t="inlineStr">
        <is>
          <t>2026-05-13|주간|LOT=365301XFB0,SFZOT5C0105</t>
        </is>
      </c>
      <c r="V64" t="inlineStr">
        <is>
          <t>2026-05-13</t>
        </is>
      </c>
      <c r="W64" t="inlineStr">
        <is>
          <t>date_block</t>
        </is>
      </c>
    </row>
    <row r="65">
      <c r="A65" t="inlineStr">
        <is>
          <t>ST01</t>
        </is>
      </c>
      <c r="B65" t="inlineStr">
        <is>
          <t>ST140</t>
        </is>
      </c>
      <c r="C65" t="inlineStr">
        <is>
          <t>터미널 높이 검사</t>
        </is>
      </c>
      <c r="D65" t="inlineStr">
        <is>
          <t>ST01-140-01</t>
        </is>
      </c>
      <c r="E65" t="inlineStr">
        <is>
          <t>365301XFB0</t>
        </is>
      </c>
      <c r="F65" t="inlineStr">
        <is>
          <t>Stator Assys(MV후륜)</t>
        </is>
      </c>
      <c r="G65" t="inlineStr">
        <is>
          <t>365301XFB0,SFZOT5C0105</t>
        </is>
      </c>
      <c r="H65" t="inlineStr">
        <is>
          <t>OK</t>
        </is>
      </c>
      <c r="I65" s="60" t="n">
        <v>46155.48244212963</v>
      </c>
      <c r="J65" t="n">
        <v>4</v>
      </c>
      <c r="K65" t="inlineStr">
        <is>
          <t>높이 측정 데이터#4</t>
        </is>
      </c>
      <c r="L65" t="inlineStr">
        <is>
          <t>T</t>
        </is>
      </c>
      <c r="M65" t="n">
        <v>-0.17</v>
      </c>
      <c r="R65" t="inlineStr">
        <is>
          <t>OK</t>
        </is>
      </c>
      <c r="S65" t="inlineStr">
        <is>
          <t>검사데이터_조회_터미널단자높이_260504~0602</t>
        </is>
      </c>
      <c r="T65" t="n">
        <v>13</v>
      </c>
      <c r="U65" t="inlineStr">
        <is>
          <t>2026-05-13|주간|LOT=365301XFB0,SFZOT5C0105</t>
        </is>
      </c>
      <c r="V65" t="inlineStr">
        <is>
          <t>2026-05-13</t>
        </is>
      </c>
      <c r="W65" t="inlineStr">
        <is>
          <t>date_block</t>
        </is>
      </c>
    </row>
    <row r="66">
      <c r="A66" t="inlineStr">
        <is>
          <t>ST01</t>
        </is>
      </c>
      <c r="B66" t="inlineStr">
        <is>
          <t>ST140</t>
        </is>
      </c>
      <c r="C66" t="inlineStr">
        <is>
          <t>터미널 높이 검사</t>
        </is>
      </c>
      <c r="D66" t="inlineStr">
        <is>
          <t>ST01-140-01</t>
        </is>
      </c>
      <c r="E66" t="inlineStr">
        <is>
          <t>365301XFB0</t>
        </is>
      </c>
      <c r="F66" t="inlineStr">
        <is>
          <t>Stator Assys(MV후륜)</t>
        </is>
      </c>
      <c r="G66" t="inlineStr">
        <is>
          <t>365301XFB0,SFZOT5C0105</t>
        </is>
      </c>
      <c r="H66" t="inlineStr">
        <is>
          <t>OK</t>
        </is>
      </c>
      <c r="I66" s="60" t="n">
        <v>46155.48244212963</v>
      </c>
      <c r="J66" t="n">
        <v>5</v>
      </c>
      <c r="K66" t="inlineStr">
        <is>
          <t>높이 측정 데이터#5</t>
        </is>
      </c>
      <c r="L66" t="inlineStr">
        <is>
          <t>T</t>
        </is>
      </c>
      <c r="M66" t="n">
        <v>-0.31</v>
      </c>
      <c r="R66" t="inlineStr">
        <is>
          <t>OK</t>
        </is>
      </c>
      <c r="S66" t="inlineStr">
        <is>
          <t>검사데이터_조회_터미널단자높이_260504~0602</t>
        </is>
      </c>
      <c r="T66" t="n">
        <v>13</v>
      </c>
      <c r="U66" t="inlineStr">
        <is>
          <t>2026-05-13|주간|LOT=365301XFB0,SFZOT5C0105</t>
        </is>
      </c>
      <c r="V66" t="inlineStr">
        <is>
          <t>2026-05-13</t>
        </is>
      </c>
      <c r="W66" t="inlineStr">
        <is>
          <t>date_block</t>
        </is>
      </c>
    </row>
    <row r="67">
      <c r="A67" t="inlineStr">
        <is>
          <t>ST01</t>
        </is>
      </c>
      <c r="B67" t="inlineStr">
        <is>
          <t>ST140</t>
        </is>
      </c>
      <c r="C67" t="inlineStr">
        <is>
          <t>터미널 높이 검사</t>
        </is>
      </c>
      <c r="D67" t="inlineStr">
        <is>
          <t>ST01-140-01</t>
        </is>
      </c>
      <c r="E67" t="inlineStr">
        <is>
          <t>365301XFB0</t>
        </is>
      </c>
      <c r="F67" t="inlineStr">
        <is>
          <t>Stator Assys(MV후륜)</t>
        </is>
      </c>
      <c r="G67" t="inlineStr">
        <is>
          <t>365301XFB0,SFZOT5T0114</t>
        </is>
      </c>
      <c r="H67" t="inlineStr">
        <is>
          <t>OK</t>
        </is>
      </c>
      <c r="I67" s="60" t="n">
        <v>46171.32734953704</v>
      </c>
      <c r="J67" t="n">
        <v>1</v>
      </c>
      <c r="K67" t="inlineStr">
        <is>
          <t>높이 측정 데이터#1</t>
        </is>
      </c>
      <c r="L67" t="inlineStr">
        <is>
          <t>T</t>
        </is>
      </c>
      <c r="M67" t="n">
        <v>0.1</v>
      </c>
      <c r="R67" t="inlineStr">
        <is>
          <t>OK</t>
        </is>
      </c>
      <c r="S67" t="inlineStr">
        <is>
          <t>검사데이터_조회_터미널단자높이_260504~0602</t>
        </is>
      </c>
      <c r="T67" t="n">
        <v>14</v>
      </c>
      <c r="U67" t="inlineStr">
        <is>
          <t>2026-05-29|야간|LOT=365301XFB0,SFZOT5T0114</t>
        </is>
      </c>
      <c r="V67" t="inlineStr">
        <is>
          <t>2026-05-29</t>
        </is>
      </c>
      <c r="W67" t="inlineStr">
        <is>
          <t>date_block</t>
        </is>
      </c>
    </row>
    <row r="68">
      <c r="A68" t="inlineStr">
        <is>
          <t>ST01</t>
        </is>
      </c>
      <c r="B68" t="inlineStr">
        <is>
          <t>ST140</t>
        </is>
      </c>
      <c r="C68" t="inlineStr">
        <is>
          <t>터미널 높이 검사</t>
        </is>
      </c>
      <c r="D68" t="inlineStr">
        <is>
          <t>ST01-140-01</t>
        </is>
      </c>
      <c r="E68" t="inlineStr">
        <is>
          <t>365301XFB0</t>
        </is>
      </c>
      <c r="F68" t="inlineStr">
        <is>
          <t>Stator Assys(MV후륜)</t>
        </is>
      </c>
      <c r="G68" t="inlineStr">
        <is>
          <t>365301XFB0,SFZOT5T0114</t>
        </is>
      </c>
      <c r="H68" t="inlineStr">
        <is>
          <t>OK</t>
        </is>
      </c>
      <c r="I68" s="60" t="n">
        <v>46171.32734953704</v>
      </c>
      <c r="J68" t="n">
        <v>2</v>
      </c>
      <c r="K68" t="inlineStr">
        <is>
          <t>높이 측정 데이터#2</t>
        </is>
      </c>
      <c r="L68" t="inlineStr">
        <is>
          <t>T</t>
        </is>
      </c>
      <c r="M68" t="n">
        <v>0.22</v>
      </c>
      <c r="R68" t="inlineStr">
        <is>
          <t>OK</t>
        </is>
      </c>
      <c r="S68" t="inlineStr">
        <is>
          <t>검사데이터_조회_터미널단자높이_260504~0602</t>
        </is>
      </c>
      <c r="T68" t="n">
        <v>14</v>
      </c>
      <c r="U68" t="inlineStr">
        <is>
          <t>2026-05-29|야간|LOT=365301XFB0,SFZOT5T0114</t>
        </is>
      </c>
      <c r="V68" t="inlineStr">
        <is>
          <t>2026-05-29</t>
        </is>
      </c>
      <c r="W68" t="inlineStr">
        <is>
          <t>date_block</t>
        </is>
      </c>
    </row>
    <row r="69">
      <c r="A69" t="inlineStr">
        <is>
          <t>ST01</t>
        </is>
      </c>
      <c r="B69" t="inlineStr">
        <is>
          <t>ST140</t>
        </is>
      </c>
      <c r="C69" t="inlineStr">
        <is>
          <t>터미널 높이 검사</t>
        </is>
      </c>
      <c r="D69" t="inlineStr">
        <is>
          <t>ST01-140-01</t>
        </is>
      </c>
      <c r="E69" t="inlineStr">
        <is>
          <t>365301XFB0</t>
        </is>
      </c>
      <c r="F69" t="inlineStr">
        <is>
          <t>Stator Assys(MV후륜)</t>
        </is>
      </c>
      <c r="G69" t="inlineStr">
        <is>
          <t>365301XFB0,SFZOT5T0114</t>
        </is>
      </c>
      <c r="H69" t="inlineStr">
        <is>
          <t>OK</t>
        </is>
      </c>
      <c r="I69" s="60" t="n">
        <v>46171.32734953704</v>
      </c>
      <c r="J69" t="n">
        <v>3</v>
      </c>
      <c r="K69" t="inlineStr">
        <is>
          <t>높이 측정 데이터#3</t>
        </is>
      </c>
      <c r="L69" t="inlineStr">
        <is>
          <t>T</t>
        </is>
      </c>
      <c r="M69" t="n">
        <v>0.08</v>
      </c>
      <c r="R69" t="inlineStr">
        <is>
          <t>OK</t>
        </is>
      </c>
      <c r="S69" t="inlineStr">
        <is>
          <t>검사데이터_조회_터미널단자높이_260504~0602</t>
        </is>
      </c>
      <c r="T69" t="n">
        <v>14</v>
      </c>
      <c r="U69" t="inlineStr">
        <is>
          <t>2026-05-29|야간|LOT=365301XFB0,SFZOT5T0114</t>
        </is>
      </c>
      <c r="V69" t="inlineStr">
        <is>
          <t>2026-05-29</t>
        </is>
      </c>
      <c r="W69" t="inlineStr">
        <is>
          <t>date_block</t>
        </is>
      </c>
    </row>
    <row r="70">
      <c r="A70" t="inlineStr">
        <is>
          <t>ST01</t>
        </is>
      </c>
      <c r="B70" t="inlineStr">
        <is>
          <t>ST140</t>
        </is>
      </c>
      <c r="C70" t="inlineStr">
        <is>
          <t>터미널 높이 검사</t>
        </is>
      </c>
      <c r="D70" t="inlineStr">
        <is>
          <t>ST01-140-01</t>
        </is>
      </c>
      <c r="E70" t="inlineStr">
        <is>
          <t>365301XFB0</t>
        </is>
      </c>
      <c r="F70" t="inlineStr">
        <is>
          <t>Stator Assys(MV후륜)</t>
        </is>
      </c>
      <c r="G70" t="inlineStr">
        <is>
          <t>365301XFB0,SFZOT5T0114</t>
        </is>
      </c>
      <c r="H70" t="inlineStr">
        <is>
          <t>OK</t>
        </is>
      </c>
      <c r="I70" s="60" t="n">
        <v>46171.32734953704</v>
      </c>
      <c r="J70" t="n">
        <v>4</v>
      </c>
      <c r="K70" t="inlineStr">
        <is>
          <t>높이 측정 데이터#4</t>
        </is>
      </c>
      <c r="L70" t="inlineStr">
        <is>
          <t>T</t>
        </is>
      </c>
      <c r="M70" t="n">
        <v>-0.11</v>
      </c>
      <c r="R70" t="inlineStr">
        <is>
          <t>OK</t>
        </is>
      </c>
      <c r="S70" t="inlineStr">
        <is>
          <t>검사데이터_조회_터미널단자높이_260504~0602</t>
        </is>
      </c>
      <c r="T70" t="n">
        <v>14</v>
      </c>
      <c r="U70" t="inlineStr">
        <is>
          <t>2026-05-29|야간|LOT=365301XFB0,SFZOT5T0114</t>
        </is>
      </c>
      <c r="V70" t="inlineStr">
        <is>
          <t>2026-05-29</t>
        </is>
      </c>
      <c r="W70" t="inlineStr">
        <is>
          <t>date_block</t>
        </is>
      </c>
    </row>
    <row r="71">
      <c r="A71" t="inlineStr">
        <is>
          <t>ST01</t>
        </is>
      </c>
      <c r="B71" t="inlineStr">
        <is>
          <t>ST140</t>
        </is>
      </c>
      <c r="C71" t="inlineStr">
        <is>
          <t>터미널 높이 검사</t>
        </is>
      </c>
      <c r="D71" t="inlineStr">
        <is>
          <t>ST01-140-01</t>
        </is>
      </c>
      <c r="E71" t="inlineStr">
        <is>
          <t>365301XFB0</t>
        </is>
      </c>
      <c r="F71" t="inlineStr">
        <is>
          <t>Stator Assys(MV후륜)</t>
        </is>
      </c>
      <c r="G71" t="inlineStr">
        <is>
          <t>365301XFB0,SFZOT5T0114</t>
        </is>
      </c>
      <c r="H71" t="inlineStr">
        <is>
          <t>OK</t>
        </is>
      </c>
      <c r="I71" s="60" t="n">
        <v>46171.32734953704</v>
      </c>
      <c r="J71" t="n">
        <v>5</v>
      </c>
      <c r="K71" t="inlineStr">
        <is>
          <t>높이 측정 데이터#5</t>
        </is>
      </c>
      <c r="L71" t="inlineStr">
        <is>
          <t>T</t>
        </is>
      </c>
      <c r="M71" t="n">
        <v>0</v>
      </c>
      <c r="R71" t="inlineStr">
        <is>
          <t>OK</t>
        </is>
      </c>
      <c r="S71" t="inlineStr">
        <is>
          <t>검사데이터_조회_터미널단자높이_260504~0602</t>
        </is>
      </c>
      <c r="T71" t="n">
        <v>14</v>
      </c>
      <c r="U71" t="inlineStr">
        <is>
          <t>2026-05-29|야간|LOT=365301XFB0,SFZOT5T0114</t>
        </is>
      </c>
      <c r="V71" t="inlineStr">
        <is>
          <t>2026-05-29</t>
        </is>
      </c>
      <c r="W71" t="inlineStr">
        <is>
          <t>date_block</t>
        </is>
      </c>
    </row>
    <row r="72">
      <c r="A72" t="inlineStr">
        <is>
          <t>ST01</t>
        </is>
      </c>
      <c r="B72" t="inlineStr">
        <is>
          <t>ST140</t>
        </is>
      </c>
      <c r="C72" t="inlineStr">
        <is>
          <t>터미널 높이 검사</t>
        </is>
      </c>
      <c r="D72" t="inlineStr">
        <is>
          <t>ST01-140-01</t>
        </is>
      </c>
      <c r="E72" t="inlineStr">
        <is>
          <t>365301XFB0</t>
        </is>
      </c>
      <c r="F72" t="inlineStr">
        <is>
          <t>Stator Assys(MV후륜)</t>
        </is>
      </c>
      <c r="G72" t="inlineStr">
        <is>
          <t>365301XFB0,SFZOT4X0107</t>
        </is>
      </c>
      <c r="H72" t="inlineStr">
        <is>
          <t>OK</t>
        </is>
      </c>
      <c r="I72" s="60" t="n">
        <v>46149.29371527778</v>
      </c>
      <c r="J72" t="n">
        <v>1</v>
      </c>
      <c r="K72" t="inlineStr">
        <is>
          <t>높이 측정 데이터#1</t>
        </is>
      </c>
      <c r="L72" t="inlineStr">
        <is>
          <t>T</t>
        </is>
      </c>
      <c r="M72" t="n">
        <v>0.29</v>
      </c>
      <c r="R72" t="inlineStr">
        <is>
          <t>OK</t>
        </is>
      </c>
      <c r="S72" t="inlineStr">
        <is>
          <t>검사데이터_조회_터미널단자높이_260504~0602</t>
        </is>
      </c>
      <c r="T72" t="n">
        <v>15</v>
      </c>
      <c r="U72" t="inlineStr">
        <is>
          <t>2026-05-07|야간|LOT=365301XFB0,SFZOT4X0107</t>
        </is>
      </c>
      <c r="V72" t="inlineStr">
        <is>
          <t>2026-05-07</t>
        </is>
      </c>
      <c r="W72" t="inlineStr">
        <is>
          <t>date_block</t>
        </is>
      </c>
    </row>
    <row r="73">
      <c r="A73" t="inlineStr">
        <is>
          <t>ST01</t>
        </is>
      </c>
      <c r="B73" t="inlineStr">
        <is>
          <t>ST140</t>
        </is>
      </c>
      <c r="C73" t="inlineStr">
        <is>
          <t>터미널 높이 검사</t>
        </is>
      </c>
      <c r="D73" t="inlineStr">
        <is>
          <t>ST01-140-01</t>
        </is>
      </c>
      <c r="E73" t="inlineStr">
        <is>
          <t>365301XFB0</t>
        </is>
      </c>
      <c r="F73" t="inlineStr">
        <is>
          <t>Stator Assys(MV후륜)</t>
        </is>
      </c>
      <c r="G73" t="inlineStr">
        <is>
          <t>365301XFB0,SFZOT4X0107</t>
        </is>
      </c>
      <c r="H73" t="inlineStr">
        <is>
          <t>OK</t>
        </is>
      </c>
      <c r="I73" s="60" t="n">
        <v>46149.29371527778</v>
      </c>
      <c r="J73" t="n">
        <v>2</v>
      </c>
      <c r="K73" t="inlineStr">
        <is>
          <t>높이 측정 데이터#2</t>
        </is>
      </c>
      <c r="L73" t="inlineStr">
        <is>
          <t>T</t>
        </is>
      </c>
      <c r="M73" t="n">
        <v>0.32</v>
      </c>
      <c r="R73" t="inlineStr">
        <is>
          <t>OK</t>
        </is>
      </c>
      <c r="S73" t="inlineStr">
        <is>
          <t>검사데이터_조회_터미널단자높이_260504~0602</t>
        </is>
      </c>
      <c r="T73" t="n">
        <v>15</v>
      </c>
      <c r="U73" t="inlineStr">
        <is>
          <t>2026-05-07|야간|LOT=365301XFB0,SFZOT4X0107</t>
        </is>
      </c>
      <c r="V73" t="inlineStr">
        <is>
          <t>2026-05-07</t>
        </is>
      </c>
      <c r="W73" t="inlineStr">
        <is>
          <t>date_block</t>
        </is>
      </c>
    </row>
    <row r="74">
      <c r="A74" t="inlineStr">
        <is>
          <t>ST01</t>
        </is>
      </c>
      <c r="B74" t="inlineStr">
        <is>
          <t>ST140</t>
        </is>
      </c>
      <c r="C74" t="inlineStr">
        <is>
          <t>터미널 높이 검사</t>
        </is>
      </c>
      <c r="D74" t="inlineStr">
        <is>
          <t>ST01-140-01</t>
        </is>
      </c>
      <c r="E74" t="inlineStr">
        <is>
          <t>365301XFB0</t>
        </is>
      </c>
      <c r="F74" t="inlineStr">
        <is>
          <t>Stator Assys(MV후륜)</t>
        </is>
      </c>
      <c r="G74" t="inlineStr">
        <is>
          <t>365301XFB0,SFZOT4X0107</t>
        </is>
      </c>
      <c r="H74" t="inlineStr">
        <is>
          <t>OK</t>
        </is>
      </c>
      <c r="I74" s="60" t="n">
        <v>46149.29371527778</v>
      </c>
      <c r="J74" t="n">
        <v>3</v>
      </c>
      <c r="K74" t="inlineStr">
        <is>
          <t>높이 측정 데이터#3</t>
        </is>
      </c>
      <c r="L74" t="inlineStr">
        <is>
          <t>T</t>
        </is>
      </c>
      <c r="M74" t="n">
        <v>0.26</v>
      </c>
      <c r="R74" t="inlineStr">
        <is>
          <t>OK</t>
        </is>
      </c>
      <c r="S74" t="inlineStr">
        <is>
          <t>검사데이터_조회_터미널단자높이_260504~0602</t>
        </is>
      </c>
      <c r="T74" t="n">
        <v>15</v>
      </c>
      <c r="U74" t="inlineStr">
        <is>
          <t>2026-05-07|야간|LOT=365301XFB0,SFZOT4X0107</t>
        </is>
      </c>
      <c r="V74" t="inlineStr">
        <is>
          <t>2026-05-07</t>
        </is>
      </c>
      <c r="W74" t="inlineStr">
        <is>
          <t>date_block</t>
        </is>
      </c>
    </row>
    <row r="75">
      <c r="A75" t="inlineStr">
        <is>
          <t>ST01</t>
        </is>
      </c>
      <c r="B75" t="inlineStr">
        <is>
          <t>ST140</t>
        </is>
      </c>
      <c r="C75" t="inlineStr">
        <is>
          <t>터미널 높이 검사</t>
        </is>
      </c>
      <c r="D75" t="inlineStr">
        <is>
          <t>ST01-140-01</t>
        </is>
      </c>
      <c r="E75" t="inlineStr">
        <is>
          <t>365301XFB0</t>
        </is>
      </c>
      <c r="F75" t="inlineStr">
        <is>
          <t>Stator Assys(MV후륜)</t>
        </is>
      </c>
      <c r="G75" t="inlineStr">
        <is>
          <t>365301XFB0,SFZOT4X0107</t>
        </is>
      </c>
      <c r="H75" t="inlineStr">
        <is>
          <t>OK</t>
        </is>
      </c>
      <c r="I75" s="60" t="n">
        <v>46149.29371527778</v>
      </c>
      <c r="J75" t="n">
        <v>4</v>
      </c>
      <c r="K75" t="inlineStr">
        <is>
          <t>높이 측정 데이터#4</t>
        </is>
      </c>
      <c r="L75" t="inlineStr">
        <is>
          <t>T</t>
        </is>
      </c>
      <c r="M75" t="n">
        <v>-0.19</v>
      </c>
      <c r="R75" t="inlineStr">
        <is>
          <t>OK</t>
        </is>
      </c>
      <c r="S75" t="inlineStr">
        <is>
          <t>검사데이터_조회_터미널단자높이_260504~0602</t>
        </is>
      </c>
      <c r="T75" t="n">
        <v>15</v>
      </c>
      <c r="U75" t="inlineStr">
        <is>
          <t>2026-05-07|야간|LOT=365301XFB0,SFZOT4X0107</t>
        </is>
      </c>
      <c r="V75" t="inlineStr">
        <is>
          <t>2026-05-07</t>
        </is>
      </c>
      <c r="W75" t="inlineStr">
        <is>
          <t>date_block</t>
        </is>
      </c>
    </row>
    <row r="76">
      <c r="A76" t="inlineStr">
        <is>
          <t>ST01</t>
        </is>
      </c>
      <c r="B76" t="inlineStr">
        <is>
          <t>ST140</t>
        </is>
      </c>
      <c r="C76" t="inlineStr">
        <is>
          <t>터미널 높이 검사</t>
        </is>
      </c>
      <c r="D76" t="inlineStr">
        <is>
          <t>ST01-140-01</t>
        </is>
      </c>
      <c r="E76" t="inlineStr">
        <is>
          <t>365301XFB0</t>
        </is>
      </c>
      <c r="F76" t="inlineStr">
        <is>
          <t>Stator Assys(MV후륜)</t>
        </is>
      </c>
      <c r="G76" t="inlineStr">
        <is>
          <t>365301XFB0,SFZOT4X0107</t>
        </is>
      </c>
      <c r="H76" t="inlineStr">
        <is>
          <t>OK</t>
        </is>
      </c>
      <c r="I76" s="60" t="n">
        <v>46149.29371527778</v>
      </c>
      <c r="J76" t="n">
        <v>5</v>
      </c>
      <c r="K76" t="inlineStr">
        <is>
          <t>높이 측정 데이터#5</t>
        </is>
      </c>
      <c r="L76" t="inlineStr">
        <is>
          <t>T</t>
        </is>
      </c>
      <c r="M76" t="n">
        <v>-0.4</v>
      </c>
      <c r="R76" t="inlineStr">
        <is>
          <t>OK</t>
        </is>
      </c>
      <c r="S76" t="inlineStr">
        <is>
          <t>검사데이터_조회_터미널단자높이_260504~0602</t>
        </is>
      </c>
      <c r="T76" t="n">
        <v>15</v>
      </c>
      <c r="U76" t="inlineStr">
        <is>
          <t>2026-05-07|야간|LOT=365301XFB0,SFZOT4X0107</t>
        </is>
      </c>
      <c r="V76" t="inlineStr">
        <is>
          <t>2026-05-07</t>
        </is>
      </c>
      <c r="W76" t="inlineStr">
        <is>
          <t>date_block</t>
        </is>
      </c>
    </row>
    <row r="77">
      <c r="A77" t="inlineStr">
        <is>
          <t>ST01</t>
        </is>
      </c>
      <c r="B77" t="inlineStr">
        <is>
          <t>ST140</t>
        </is>
      </c>
      <c r="C77" t="inlineStr">
        <is>
          <t>터미널 높이 검사</t>
        </is>
      </c>
      <c r="D77" t="inlineStr">
        <is>
          <t>ST01-140-01</t>
        </is>
      </c>
      <c r="E77" t="inlineStr">
        <is>
          <t>365301XFB0</t>
        </is>
      </c>
      <c r="F77" t="inlineStr">
        <is>
          <t>Stator Assys(MV후륜)</t>
        </is>
      </c>
      <c r="G77" t="inlineStr">
        <is>
          <t>365301XFB0,SFZOT5T0007</t>
        </is>
      </c>
      <c r="H77" t="inlineStr">
        <is>
          <t>OK</t>
        </is>
      </c>
      <c r="I77" s="60" t="n">
        <v>46170.32471064815</v>
      </c>
      <c r="J77" t="n">
        <v>1</v>
      </c>
      <c r="K77" t="inlineStr">
        <is>
          <t>높이 측정 데이터#1</t>
        </is>
      </c>
      <c r="L77" t="inlineStr">
        <is>
          <t>T</t>
        </is>
      </c>
      <c r="M77" t="n">
        <v>-0.08</v>
      </c>
      <c r="R77" t="inlineStr">
        <is>
          <t>OK</t>
        </is>
      </c>
      <c r="S77" t="inlineStr">
        <is>
          <t>검사데이터_조회_터미널단자높이_260504~0602</t>
        </is>
      </c>
      <c r="T77" t="n">
        <v>16</v>
      </c>
      <c r="U77" t="inlineStr">
        <is>
          <t>2026-05-28|야간|LOT=365301XFB0,SFZOT5T0007</t>
        </is>
      </c>
      <c r="V77" t="inlineStr">
        <is>
          <t>2026-05-28</t>
        </is>
      </c>
      <c r="W77" t="inlineStr">
        <is>
          <t>date_block</t>
        </is>
      </c>
    </row>
    <row r="78">
      <c r="A78" t="inlineStr">
        <is>
          <t>ST01</t>
        </is>
      </c>
      <c r="B78" t="inlineStr">
        <is>
          <t>ST140</t>
        </is>
      </c>
      <c r="C78" t="inlineStr">
        <is>
          <t>터미널 높이 검사</t>
        </is>
      </c>
      <c r="D78" t="inlineStr">
        <is>
          <t>ST01-140-01</t>
        </is>
      </c>
      <c r="E78" t="inlineStr">
        <is>
          <t>365301XFB0</t>
        </is>
      </c>
      <c r="F78" t="inlineStr">
        <is>
          <t>Stator Assys(MV후륜)</t>
        </is>
      </c>
      <c r="G78" t="inlineStr">
        <is>
          <t>365301XFB0,SFZOT5T0007</t>
        </is>
      </c>
      <c r="H78" t="inlineStr">
        <is>
          <t>OK</t>
        </is>
      </c>
      <c r="I78" s="60" t="n">
        <v>46170.32471064815</v>
      </c>
      <c r="J78" t="n">
        <v>2</v>
      </c>
      <c r="K78" t="inlineStr">
        <is>
          <t>높이 측정 데이터#2</t>
        </is>
      </c>
      <c r="L78" t="inlineStr">
        <is>
          <t>T</t>
        </is>
      </c>
      <c r="M78" t="n">
        <v>0.08</v>
      </c>
      <c r="R78" t="inlineStr">
        <is>
          <t>OK</t>
        </is>
      </c>
      <c r="S78" t="inlineStr">
        <is>
          <t>검사데이터_조회_터미널단자높이_260504~0602</t>
        </is>
      </c>
      <c r="T78" t="n">
        <v>16</v>
      </c>
      <c r="U78" t="inlineStr">
        <is>
          <t>2026-05-28|야간|LOT=365301XFB0,SFZOT5T0007</t>
        </is>
      </c>
      <c r="V78" t="inlineStr">
        <is>
          <t>2026-05-28</t>
        </is>
      </c>
      <c r="W78" t="inlineStr">
        <is>
          <t>date_block</t>
        </is>
      </c>
    </row>
    <row r="79">
      <c r="A79" t="inlineStr">
        <is>
          <t>ST01</t>
        </is>
      </c>
      <c r="B79" t="inlineStr">
        <is>
          <t>ST140</t>
        </is>
      </c>
      <c r="C79" t="inlineStr">
        <is>
          <t>터미널 높이 검사</t>
        </is>
      </c>
      <c r="D79" t="inlineStr">
        <is>
          <t>ST01-140-01</t>
        </is>
      </c>
      <c r="E79" t="inlineStr">
        <is>
          <t>365301XFB0</t>
        </is>
      </c>
      <c r="F79" t="inlineStr">
        <is>
          <t>Stator Assys(MV후륜)</t>
        </is>
      </c>
      <c r="G79" t="inlineStr">
        <is>
          <t>365301XFB0,SFZOT5T0007</t>
        </is>
      </c>
      <c r="H79" t="inlineStr">
        <is>
          <t>OK</t>
        </is>
      </c>
      <c r="I79" s="60" t="n">
        <v>46170.32471064815</v>
      </c>
      <c r="J79" t="n">
        <v>3</v>
      </c>
      <c r="K79" t="inlineStr">
        <is>
          <t>높이 측정 데이터#3</t>
        </is>
      </c>
      <c r="L79" t="inlineStr">
        <is>
          <t>T</t>
        </is>
      </c>
      <c r="M79" t="n">
        <v>0.01</v>
      </c>
      <c r="R79" t="inlineStr">
        <is>
          <t>OK</t>
        </is>
      </c>
      <c r="S79" t="inlineStr">
        <is>
          <t>검사데이터_조회_터미널단자높이_260504~0602</t>
        </is>
      </c>
      <c r="T79" t="n">
        <v>16</v>
      </c>
      <c r="U79" t="inlineStr">
        <is>
          <t>2026-05-28|야간|LOT=365301XFB0,SFZOT5T0007</t>
        </is>
      </c>
      <c r="V79" t="inlineStr">
        <is>
          <t>2026-05-28</t>
        </is>
      </c>
      <c r="W79" t="inlineStr">
        <is>
          <t>date_block</t>
        </is>
      </c>
    </row>
    <row r="80">
      <c r="A80" t="inlineStr">
        <is>
          <t>ST01</t>
        </is>
      </c>
      <c r="B80" t="inlineStr">
        <is>
          <t>ST140</t>
        </is>
      </c>
      <c r="C80" t="inlineStr">
        <is>
          <t>터미널 높이 검사</t>
        </is>
      </c>
      <c r="D80" t="inlineStr">
        <is>
          <t>ST01-140-01</t>
        </is>
      </c>
      <c r="E80" t="inlineStr">
        <is>
          <t>365301XFB0</t>
        </is>
      </c>
      <c r="F80" t="inlineStr">
        <is>
          <t>Stator Assys(MV후륜)</t>
        </is>
      </c>
      <c r="G80" t="inlineStr">
        <is>
          <t>365301XFB0,SFZOT5T0007</t>
        </is>
      </c>
      <c r="H80" t="inlineStr">
        <is>
          <t>OK</t>
        </is>
      </c>
      <c r="I80" s="60" t="n">
        <v>46170.32471064815</v>
      </c>
      <c r="J80" t="n">
        <v>4</v>
      </c>
      <c r="K80" t="inlineStr">
        <is>
          <t>높이 측정 데이터#4</t>
        </is>
      </c>
      <c r="L80" t="inlineStr">
        <is>
          <t>T</t>
        </is>
      </c>
      <c r="M80" t="n">
        <v>0.02</v>
      </c>
      <c r="R80" t="inlineStr">
        <is>
          <t>OK</t>
        </is>
      </c>
      <c r="S80" t="inlineStr">
        <is>
          <t>검사데이터_조회_터미널단자높이_260504~0602</t>
        </is>
      </c>
      <c r="T80" t="n">
        <v>16</v>
      </c>
      <c r="U80" t="inlineStr">
        <is>
          <t>2026-05-28|야간|LOT=365301XFB0,SFZOT5T0007</t>
        </is>
      </c>
      <c r="V80" t="inlineStr">
        <is>
          <t>2026-05-28</t>
        </is>
      </c>
      <c r="W80" t="inlineStr">
        <is>
          <t>date_block</t>
        </is>
      </c>
    </row>
    <row r="81">
      <c r="A81" t="inlineStr">
        <is>
          <t>ST01</t>
        </is>
      </c>
      <c r="B81" t="inlineStr">
        <is>
          <t>ST140</t>
        </is>
      </c>
      <c r="C81" t="inlineStr">
        <is>
          <t>터미널 높이 검사</t>
        </is>
      </c>
      <c r="D81" t="inlineStr">
        <is>
          <t>ST01-140-01</t>
        </is>
      </c>
      <c r="E81" t="inlineStr">
        <is>
          <t>365301XFB0</t>
        </is>
      </c>
      <c r="F81" t="inlineStr">
        <is>
          <t>Stator Assys(MV후륜)</t>
        </is>
      </c>
      <c r="G81" t="inlineStr">
        <is>
          <t>365301XFB0,SFZOT5T0007</t>
        </is>
      </c>
      <c r="H81" t="inlineStr">
        <is>
          <t>OK</t>
        </is>
      </c>
      <c r="I81" s="60" t="n">
        <v>46170.32471064815</v>
      </c>
      <c r="J81" t="n">
        <v>5</v>
      </c>
      <c r="K81" t="inlineStr">
        <is>
          <t>높이 측정 데이터#5</t>
        </is>
      </c>
      <c r="L81" t="inlineStr">
        <is>
          <t>T</t>
        </is>
      </c>
      <c r="M81" t="n">
        <v>-0.2</v>
      </c>
      <c r="R81" t="inlineStr">
        <is>
          <t>OK</t>
        </is>
      </c>
      <c r="S81" t="inlineStr">
        <is>
          <t>검사데이터_조회_터미널단자높이_260504~0602</t>
        </is>
      </c>
      <c r="T81" t="n">
        <v>16</v>
      </c>
      <c r="U81" t="inlineStr">
        <is>
          <t>2026-05-28|야간|LOT=365301XFB0,SFZOT5T0007</t>
        </is>
      </c>
      <c r="V81" t="inlineStr">
        <is>
          <t>2026-05-28</t>
        </is>
      </c>
      <c r="W81" t="inlineStr">
        <is>
          <t>date_block</t>
        </is>
      </c>
    </row>
    <row r="82">
      <c r="A82" t="inlineStr">
        <is>
          <t>ST01</t>
        </is>
      </c>
      <c r="B82" t="inlineStr">
        <is>
          <t>ST140</t>
        </is>
      </c>
      <c r="C82" t="inlineStr">
        <is>
          <t>터미널 높이 검사</t>
        </is>
      </c>
      <c r="D82" t="inlineStr">
        <is>
          <t>ST01-140-01</t>
        </is>
      </c>
      <c r="E82" t="inlineStr">
        <is>
          <t>365301XFB0</t>
        </is>
      </c>
      <c r="F82" t="inlineStr">
        <is>
          <t>Stator Assys(MV후륜)</t>
        </is>
      </c>
      <c r="G82" t="inlineStr">
        <is>
          <t>365301XFB0,SFZOT5F0151</t>
        </is>
      </c>
      <c r="H82" t="inlineStr">
        <is>
          <t>OK</t>
        </is>
      </c>
      <c r="I82" s="60" t="n">
        <v>46162.38914351852</v>
      </c>
      <c r="J82" t="n">
        <v>1</v>
      </c>
      <c r="K82" t="inlineStr">
        <is>
          <t>높이 측정 데이터#1</t>
        </is>
      </c>
      <c r="L82" t="inlineStr">
        <is>
          <t>T</t>
        </is>
      </c>
      <c r="M82" t="n">
        <v>-0.12</v>
      </c>
      <c r="R82" t="inlineStr">
        <is>
          <t>OK</t>
        </is>
      </c>
      <c r="S82" t="inlineStr">
        <is>
          <t>검사데이터_조회_터미널단자높이_260504~0602</t>
        </is>
      </c>
      <c r="T82" t="n">
        <v>17</v>
      </c>
      <c r="U82" t="inlineStr">
        <is>
          <t>2026-05-20|주간|LOT=365301XFB0,SFZOT5F0151</t>
        </is>
      </c>
      <c r="V82" t="inlineStr">
        <is>
          <t>2026-05-20</t>
        </is>
      </c>
      <c r="W82" t="inlineStr">
        <is>
          <t>date_block</t>
        </is>
      </c>
    </row>
    <row r="83">
      <c r="A83" t="inlineStr">
        <is>
          <t>ST01</t>
        </is>
      </c>
      <c r="B83" t="inlineStr">
        <is>
          <t>ST140</t>
        </is>
      </c>
      <c r="C83" t="inlineStr">
        <is>
          <t>터미널 높이 검사</t>
        </is>
      </c>
      <c r="D83" t="inlineStr">
        <is>
          <t>ST01-140-01</t>
        </is>
      </c>
      <c r="E83" t="inlineStr">
        <is>
          <t>365301XFB0</t>
        </is>
      </c>
      <c r="F83" t="inlineStr">
        <is>
          <t>Stator Assys(MV후륜)</t>
        </is>
      </c>
      <c r="G83" t="inlineStr">
        <is>
          <t>365301XFB0,SFZOT5F0151</t>
        </is>
      </c>
      <c r="H83" t="inlineStr">
        <is>
          <t>OK</t>
        </is>
      </c>
      <c r="I83" s="60" t="n">
        <v>46162.38914351852</v>
      </c>
      <c r="J83" t="n">
        <v>2</v>
      </c>
      <c r="K83" t="inlineStr">
        <is>
          <t>높이 측정 데이터#2</t>
        </is>
      </c>
      <c r="L83" t="inlineStr">
        <is>
          <t>T</t>
        </is>
      </c>
      <c r="M83" t="n">
        <v>0.03</v>
      </c>
      <c r="R83" t="inlineStr">
        <is>
          <t>OK</t>
        </is>
      </c>
      <c r="S83" t="inlineStr">
        <is>
          <t>검사데이터_조회_터미널단자높이_260504~0602</t>
        </is>
      </c>
      <c r="T83" t="n">
        <v>17</v>
      </c>
      <c r="U83" t="inlineStr">
        <is>
          <t>2026-05-20|주간|LOT=365301XFB0,SFZOT5F0151</t>
        </is>
      </c>
      <c r="V83" t="inlineStr">
        <is>
          <t>2026-05-20</t>
        </is>
      </c>
      <c r="W83" t="inlineStr">
        <is>
          <t>date_block</t>
        </is>
      </c>
    </row>
    <row r="84">
      <c r="A84" t="inlineStr">
        <is>
          <t>ST01</t>
        </is>
      </c>
      <c r="B84" t="inlineStr">
        <is>
          <t>ST140</t>
        </is>
      </c>
      <c r="C84" t="inlineStr">
        <is>
          <t>터미널 높이 검사</t>
        </is>
      </c>
      <c r="D84" t="inlineStr">
        <is>
          <t>ST01-140-01</t>
        </is>
      </c>
      <c r="E84" t="inlineStr">
        <is>
          <t>365301XFB0</t>
        </is>
      </c>
      <c r="F84" t="inlineStr">
        <is>
          <t>Stator Assys(MV후륜)</t>
        </is>
      </c>
      <c r="G84" t="inlineStr">
        <is>
          <t>365301XFB0,SFZOT5F0151</t>
        </is>
      </c>
      <c r="H84" t="inlineStr">
        <is>
          <t>OK</t>
        </is>
      </c>
      <c r="I84" s="60" t="n">
        <v>46162.38914351852</v>
      </c>
      <c r="J84" t="n">
        <v>3</v>
      </c>
      <c r="K84" t="inlineStr">
        <is>
          <t>높이 측정 데이터#3</t>
        </is>
      </c>
      <c r="L84" t="inlineStr">
        <is>
          <t>T</t>
        </is>
      </c>
      <c r="M84" t="n">
        <v>-0.03</v>
      </c>
      <c r="R84" t="inlineStr">
        <is>
          <t>OK</t>
        </is>
      </c>
      <c r="S84" t="inlineStr">
        <is>
          <t>검사데이터_조회_터미널단자높이_260504~0602</t>
        </is>
      </c>
      <c r="T84" t="n">
        <v>17</v>
      </c>
      <c r="U84" t="inlineStr">
        <is>
          <t>2026-05-20|주간|LOT=365301XFB0,SFZOT5F0151</t>
        </is>
      </c>
      <c r="V84" t="inlineStr">
        <is>
          <t>2026-05-20</t>
        </is>
      </c>
      <c r="W84" t="inlineStr">
        <is>
          <t>date_block</t>
        </is>
      </c>
    </row>
    <row r="85">
      <c r="A85" t="inlineStr">
        <is>
          <t>ST01</t>
        </is>
      </c>
      <c r="B85" t="inlineStr">
        <is>
          <t>ST140</t>
        </is>
      </c>
      <c r="C85" t="inlineStr">
        <is>
          <t>터미널 높이 검사</t>
        </is>
      </c>
      <c r="D85" t="inlineStr">
        <is>
          <t>ST01-140-01</t>
        </is>
      </c>
      <c r="E85" t="inlineStr">
        <is>
          <t>365301XFB0</t>
        </is>
      </c>
      <c r="F85" t="inlineStr">
        <is>
          <t>Stator Assys(MV후륜)</t>
        </is>
      </c>
      <c r="G85" t="inlineStr">
        <is>
          <t>365301XFB0,SFZOT5F0151</t>
        </is>
      </c>
      <c r="H85" t="inlineStr">
        <is>
          <t>OK</t>
        </is>
      </c>
      <c r="I85" s="60" t="n">
        <v>46162.38914351852</v>
      </c>
      <c r="J85" t="n">
        <v>4</v>
      </c>
      <c r="K85" t="inlineStr">
        <is>
          <t>높이 측정 데이터#4</t>
        </is>
      </c>
      <c r="L85" t="inlineStr">
        <is>
          <t>T</t>
        </is>
      </c>
      <c r="M85" t="n">
        <v>-0.01</v>
      </c>
      <c r="R85" t="inlineStr">
        <is>
          <t>OK</t>
        </is>
      </c>
      <c r="S85" t="inlineStr">
        <is>
          <t>검사데이터_조회_터미널단자높이_260504~0602</t>
        </is>
      </c>
      <c r="T85" t="n">
        <v>17</v>
      </c>
      <c r="U85" t="inlineStr">
        <is>
          <t>2026-05-20|주간|LOT=365301XFB0,SFZOT5F0151</t>
        </is>
      </c>
      <c r="V85" t="inlineStr">
        <is>
          <t>2026-05-20</t>
        </is>
      </c>
      <c r="W85" t="inlineStr">
        <is>
          <t>date_block</t>
        </is>
      </c>
    </row>
    <row r="86">
      <c r="A86" t="inlineStr">
        <is>
          <t>ST01</t>
        </is>
      </c>
      <c r="B86" t="inlineStr">
        <is>
          <t>ST140</t>
        </is>
      </c>
      <c r="C86" t="inlineStr">
        <is>
          <t>터미널 높이 검사</t>
        </is>
      </c>
      <c r="D86" t="inlineStr">
        <is>
          <t>ST01-140-01</t>
        </is>
      </c>
      <c r="E86" t="inlineStr">
        <is>
          <t>365301XFB0</t>
        </is>
      </c>
      <c r="F86" t="inlineStr">
        <is>
          <t>Stator Assys(MV후륜)</t>
        </is>
      </c>
      <c r="G86" t="inlineStr">
        <is>
          <t>365301XFB0,SFZOT5F0151</t>
        </is>
      </c>
      <c r="H86" t="inlineStr">
        <is>
          <t>OK</t>
        </is>
      </c>
      <c r="I86" s="60" t="n">
        <v>46162.38914351852</v>
      </c>
      <c r="J86" t="n">
        <v>5</v>
      </c>
      <c r="K86" t="inlineStr">
        <is>
          <t>높이 측정 데이터#5</t>
        </is>
      </c>
      <c r="L86" t="inlineStr">
        <is>
          <t>T</t>
        </is>
      </c>
      <c r="M86" t="n">
        <v>-0.17</v>
      </c>
      <c r="R86" t="inlineStr">
        <is>
          <t>OK</t>
        </is>
      </c>
      <c r="S86" t="inlineStr">
        <is>
          <t>검사데이터_조회_터미널단자높이_260504~0602</t>
        </is>
      </c>
      <c r="T86" t="n">
        <v>17</v>
      </c>
      <c r="U86" t="inlineStr">
        <is>
          <t>2026-05-20|주간|LOT=365301XFB0,SFZOT5F0151</t>
        </is>
      </c>
      <c r="V86" t="inlineStr">
        <is>
          <t>2026-05-20</t>
        </is>
      </c>
      <c r="W86" t="inlineStr">
        <is>
          <t>date_block</t>
        </is>
      </c>
    </row>
    <row r="87">
      <c r="A87" t="inlineStr">
        <is>
          <t>ST01</t>
        </is>
      </c>
      <c r="B87" t="inlineStr">
        <is>
          <t>ST140</t>
        </is>
      </c>
      <c r="C87" t="inlineStr">
        <is>
          <t>터미널 높이 검사</t>
        </is>
      </c>
      <c r="D87" t="inlineStr">
        <is>
          <t>ST01-140-01</t>
        </is>
      </c>
      <c r="E87" t="inlineStr">
        <is>
          <t>365301XFB0</t>
        </is>
      </c>
      <c r="F87" t="inlineStr">
        <is>
          <t>Stator Assys(MV후륜)</t>
        </is>
      </c>
      <c r="G87" t="inlineStr">
        <is>
          <t>365301XFB0,SFZOT5S0228</t>
        </is>
      </c>
      <c r="H87" t="inlineStr">
        <is>
          <t>OK</t>
        </is>
      </c>
      <c r="I87" s="60" t="n">
        <v>46169.28741898148</v>
      </c>
      <c r="J87" t="n">
        <v>1</v>
      </c>
      <c r="K87" t="inlineStr">
        <is>
          <t>높이 측정 데이터#1</t>
        </is>
      </c>
      <c r="L87" t="inlineStr">
        <is>
          <t>T</t>
        </is>
      </c>
      <c r="M87" t="n">
        <v>-0.07000000000000001</v>
      </c>
      <c r="R87" t="inlineStr">
        <is>
          <t>OK</t>
        </is>
      </c>
      <c r="S87" t="inlineStr">
        <is>
          <t>검사데이터_조회_터미널단자높이_260504~0602</t>
        </is>
      </c>
      <c r="T87" t="n">
        <v>18</v>
      </c>
      <c r="U87" t="inlineStr">
        <is>
          <t>2026-05-27|야간|LOT=365301XFB0,SFZOT5S0228</t>
        </is>
      </c>
      <c r="V87" t="inlineStr">
        <is>
          <t>2026-05-27</t>
        </is>
      </c>
      <c r="W87" t="inlineStr">
        <is>
          <t>date_block</t>
        </is>
      </c>
    </row>
    <row r="88">
      <c r="A88" t="inlineStr">
        <is>
          <t>ST01</t>
        </is>
      </c>
      <c r="B88" t="inlineStr">
        <is>
          <t>ST140</t>
        </is>
      </c>
      <c r="C88" t="inlineStr">
        <is>
          <t>터미널 높이 검사</t>
        </is>
      </c>
      <c r="D88" t="inlineStr">
        <is>
          <t>ST01-140-01</t>
        </is>
      </c>
      <c r="E88" t="inlineStr">
        <is>
          <t>365301XFB0</t>
        </is>
      </c>
      <c r="F88" t="inlineStr">
        <is>
          <t>Stator Assys(MV후륜)</t>
        </is>
      </c>
      <c r="G88" t="inlineStr">
        <is>
          <t>365301XFB0,SFZOT5S0228</t>
        </is>
      </c>
      <c r="H88" t="inlineStr">
        <is>
          <t>OK</t>
        </is>
      </c>
      <c r="I88" s="60" t="n">
        <v>46169.28741898148</v>
      </c>
      <c r="J88" t="n">
        <v>2</v>
      </c>
      <c r="K88" t="inlineStr">
        <is>
          <t>높이 측정 데이터#2</t>
        </is>
      </c>
      <c r="L88" t="inlineStr">
        <is>
          <t>T</t>
        </is>
      </c>
      <c r="M88" t="n">
        <v>0.08</v>
      </c>
      <c r="R88" t="inlineStr">
        <is>
          <t>OK</t>
        </is>
      </c>
      <c r="S88" t="inlineStr">
        <is>
          <t>검사데이터_조회_터미널단자높이_260504~0602</t>
        </is>
      </c>
      <c r="T88" t="n">
        <v>18</v>
      </c>
      <c r="U88" t="inlineStr">
        <is>
          <t>2026-05-27|야간|LOT=365301XFB0,SFZOT5S0228</t>
        </is>
      </c>
      <c r="V88" t="inlineStr">
        <is>
          <t>2026-05-27</t>
        </is>
      </c>
      <c r="W88" t="inlineStr">
        <is>
          <t>date_block</t>
        </is>
      </c>
    </row>
    <row r="89">
      <c r="A89" t="inlineStr">
        <is>
          <t>ST01</t>
        </is>
      </c>
      <c r="B89" t="inlineStr">
        <is>
          <t>ST140</t>
        </is>
      </c>
      <c r="C89" t="inlineStr">
        <is>
          <t>터미널 높이 검사</t>
        </is>
      </c>
      <c r="D89" t="inlineStr">
        <is>
          <t>ST01-140-01</t>
        </is>
      </c>
      <c r="E89" t="inlineStr">
        <is>
          <t>365301XFB0</t>
        </is>
      </c>
      <c r="F89" t="inlineStr">
        <is>
          <t>Stator Assys(MV후륜)</t>
        </is>
      </c>
      <c r="G89" t="inlineStr">
        <is>
          <t>365301XFB0,SFZOT5S0228</t>
        </is>
      </c>
      <c r="H89" t="inlineStr">
        <is>
          <t>OK</t>
        </is>
      </c>
      <c r="I89" s="60" t="n">
        <v>46169.28741898148</v>
      </c>
      <c r="J89" t="n">
        <v>3</v>
      </c>
      <c r="K89" t="inlineStr">
        <is>
          <t>높이 측정 데이터#3</t>
        </is>
      </c>
      <c r="L89" t="inlineStr">
        <is>
          <t>T</t>
        </is>
      </c>
      <c r="M89" t="n">
        <v>0.01</v>
      </c>
      <c r="R89" t="inlineStr">
        <is>
          <t>OK</t>
        </is>
      </c>
      <c r="S89" t="inlineStr">
        <is>
          <t>검사데이터_조회_터미널단자높이_260504~0602</t>
        </is>
      </c>
      <c r="T89" t="n">
        <v>18</v>
      </c>
      <c r="U89" t="inlineStr">
        <is>
          <t>2026-05-27|야간|LOT=365301XFB0,SFZOT5S0228</t>
        </is>
      </c>
      <c r="V89" t="inlineStr">
        <is>
          <t>2026-05-27</t>
        </is>
      </c>
      <c r="W89" t="inlineStr">
        <is>
          <t>date_block</t>
        </is>
      </c>
    </row>
    <row r="90">
      <c r="A90" t="inlineStr">
        <is>
          <t>ST01</t>
        </is>
      </c>
      <c r="B90" t="inlineStr">
        <is>
          <t>ST140</t>
        </is>
      </c>
      <c r="C90" t="inlineStr">
        <is>
          <t>터미널 높이 검사</t>
        </is>
      </c>
      <c r="D90" t="inlineStr">
        <is>
          <t>ST01-140-01</t>
        </is>
      </c>
      <c r="E90" t="inlineStr">
        <is>
          <t>365301XFB0</t>
        </is>
      </c>
      <c r="F90" t="inlineStr">
        <is>
          <t>Stator Assys(MV후륜)</t>
        </is>
      </c>
      <c r="G90" t="inlineStr">
        <is>
          <t>365301XFB0,SFZOT5S0228</t>
        </is>
      </c>
      <c r="H90" t="inlineStr">
        <is>
          <t>OK</t>
        </is>
      </c>
      <c r="I90" s="60" t="n">
        <v>46169.28741898148</v>
      </c>
      <c r="J90" t="n">
        <v>4</v>
      </c>
      <c r="K90" t="inlineStr">
        <is>
          <t>높이 측정 데이터#4</t>
        </is>
      </c>
      <c r="L90" t="inlineStr">
        <is>
          <t>T</t>
        </is>
      </c>
      <c r="M90" t="n">
        <v>0.02</v>
      </c>
      <c r="R90" t="inlineStr">
        <is>
          <t>OK</t>
        </is>
      </c>
      <c r="S90" t="inlineStr">
        <is>
          <t>검사데이터_조회_터미널단자높이_260504~0602</t>
        </is>
      </c>
      <c r="T90" t="n">
        <v>18</v>
      </c>
      <c r="U90" t="inlineStr">
        <is>
          <t>2026-05-27|야간|LOT=365301XFB0,SFZOT5S0228</t>
        </is>
      </c>
      <c r="V90" t="inlineStr">
        <is>
          <t>2026-05-27</t>
        </is>
      </c>
      <c r="W90" t="inlineStr">
        <is>
          <t>date_block</t>
        </is>
      </c>
    </row>
    <row r="91">
      <c r="A91" t="inlineStr">
        <is>
          <t>ST01</t>
        </is>
      </c>
      <c r="B91" t="inlineStr">
        <is>
          <t>ST140</t>
        </is>
      </c>
      <c r="C91" t="inlineStr">
        <is>
          <t>터미널 높이 검사</t>
        </is>
      </c>
      <c r="D91" t="inlineStr">
        <is>
          <t>ST01-140-01</t>
        </is>
      </c>
      <c r="E91" t="inlineStr">
        <is>
          <t>365301XFB0</t>
        </is>
      </c>
      <c r="F91" t="inlineStr">
        <is>
          <t>Stator Assys(MV후륜)</t>
        </is>
      </c>
      <c r="G91" t="inlineStr">
        <is>
          <t>365301XFB0,SFZOT5S0228</t>
        </is>
      </c>
      <c r="H91" t="inlineStr">
        <is>
          <t>OK</t>
        </is>
      </c>
      <c r="I91" s="60" t="n">
        <v>46169.28741898148</v>
      </c>
      <c r="J91" t="n">
        <v>5</v>
      </c>
      <c r="K91" t="inlineStr">
        <is>
          <t>높이 측정 데이터#5</t>
        </is>
      </c>
      <c r="L91" t="inlineStr">
        <is>
          <t>T</t>
        </is>
      </c>
      <c r="M91" t="n">
        <v>-0.24</v>
      </c>
      <c r="R91" t="inlineStr">
        <is>
          <t>OK</t>
        </is>
      </c>
      <c r="S91" t="inlineStr">
        <is>
          <t>검사데이터_조회_터미널단자높이_260504~0602</t>
        </is>
      </c>
      <c r="T91" t="n">
        <v>18</v>
      </c>
      <c r="U91" t="inlineStr">
        <is>
          <t>2026-05-27|야간|LOT=365301XFB0,SFZOT5S0228</t>
        </is>
      </c>
      <c r="V91" t="inlineStr">
        <is>
          <t>2026-05-27</t>
        </is>
      </c>
      <c r="W91" t="inlineStr">
        <is>
          <t>date_block</t>
        </is>
      </c>
    </row>
    <row r="92">
      <c r="A92" t="inlineStr">
        <is>
          <t>ST01</t>
        </is>
      </c>
      <c r="B92" t="inlineStr">
        <is>
          <t>ST140</t>
        </is>
      </c>
      <c r="C92" t="inlineStr">
        <is>
          <t>터미널 높이 검사</t>
        </is>
      </c>
      <c r="D92" t="inlineStr">
        <is>
          <t>ST01-140-01</t>
        </is>
      </c>
      <c r="E92" t="inlineStr">
        <is>
          <t>365301XFB0</t>
        </is>
      </c>
      <c r="F92" t="inlineStr">
        <is>
          <t>Stator Assys(MV후륜)</t>
        </is>
      </c>
      <c r="G92" t="inlineStr">
        <is>
          <t>365301XFB0,SFZOT610125</t>
        </is>
      </c>
      <c r="H92" t="inlineStr">
        <is>
          <t>OK</t>
        </is>
      </c>
      <c r="I92" s="60" t="n">
        <v>46175.41056712963</v>
      </c>
      <c r="J92" t="n">
        <v>1</v>
      </c>
      <c r="K92" t="inlineStr">
        <is>
          <t>높이 측정 데이터#1</t>
        </is>
      </c>
      <c r="L92" t="inlineStr">
        <is>
          <t>T</t>
        </is>
      </c>
      <c r="M92" t="n">
        <v>-0.31</v>
      </c>
      <c r="R92" t="inlineStr">
        <is>
          <t>OK</t>
        </is>
      </c>
      <c r="S92" t="inlineStr">
        <is>
          <t>검사데이터_조회_터미널단자높이_260504~0602</t>
        </is>
      </c>
      <c r="T92" t="n">
        <v>19</v>
      </c>
      <c r="U92" t="inlineStr">
        <is>
          <t>2026-06-02|주간|LOT=365301XFB0,SFZOT610125</t>
        </is>
      </c>
      <c r="V92" t="inlineStr">
        <is>
          <t>2026-06-02</t>
        </is>
      </c>
      <c r="W92" t="inlineStr">
        <is>
          <t>date_block</t>
        </is>
      </c>
    </row>
    <row r="93">
      <c r="A93" t="inlineStr">
        <is>
          <t>ST01</t>
        </is>
      </c>
      <c r="B93" t="inlineStr">
        <is>
          <t>ST140</t>
        </is>
      </c>
      <c r="C93" t="inlineStr">
        <is>
          <t>터미널 높이 검사</t>
        </is>
      </c>
      <c r="D93" t="inlineStr">
        <is>
          <t>ST01-140-01</t>
        </is>
      </c>
      <c r="E93" t="inlineStr">
        <is>
          <t>365301XFB0</t>
        </is>
      </c>
      <c r="F93" t="inlineStr">
        <is>
          <t>Stator Assys(MV후륜)</t>
        </is>
      </c>
      <c r="G93" t="inlineStr">
        <is>
          <t>365301XFB0,SFZOT610125</t>
        </is>
      </c>
      <c r="H93" t="inlineStr">
        <is>
          <t>OK</t>
        </is>
      </c>
      <c r="I93" s="60" t="n">
        <v>46175.41056712963</v>
      </c>
      <c r="J93" t="n">
        <v>2</v>
      </c>
      <c r="K93" t="inlineStr">
        <is>
          <t>높이 측정 데이터#2</t>
        </is>
      </c>
      <c r="L93" t="inlineStr">
        <is>
          <t>T</t>
        </is>
      </c>
      <c r="M93" t="n">
        <v>-0.12</v>
      </c>
      <c r="R93" t="inlineStr">
        <is>
          <t>OK</t>
        </is>
      </c>
      <c r="S93" t="inlineStr">
        <is>
          <t>검사데이터_조회_터미널단자높이_260504~0602</t>
        </is>
      </c>
      <c r="T93" t="n">
        <v>19</v>
      </c>
      <c r="U93" t="inlineStr">
        <is>
          <t>2026-06-02|주간|LOT=365301XFB0,SFZOT610125</t>
        </is>
      </c>
      <c r="V93" t="inlineStr">
        <is>
          <t>2026-06-02</t>
        </is>
      </c>
      <c r="W93" t="inlineStr">
        <is>
          <t>date_block</t>
        </is>
      </c>
    </row>
    <row r="94">
      <c r="A94" t="inlineStr">
        <is>
          <t>ST01</t>
        </is>
      </c>
      <c r="B94" t="inlineStr">
        <is>
          <t>ST140</t>
        </is>
      </c>
      <c r="C94" t="inlineStr">
        <is>
          <t>터미널 높이 검사</t>
        </is>
      </c>
      <c r="D94" t="inlineStr">
        <is>
          <t>ST01-140-01</t>
        </is>
      </c>
      <c r="E94" t="inlineStr">
        <is>
          <t>365301XFB0</t>
        </is>
      </c>
      <c r="F94" t="inlineStr">
        <is>
          <t>Stator Assys(MV후륜)</t>
        </is>
      </c>
      <c r="G94" t="inlineStr">
        <is>
          <t>365301XFB0,SFZOT610125</t>
        </is>
      </c>
      <c r="H94" t="inlineStr">
        <is>
          <t>OK</t>
        </is>
      </c>
      <c r="I94" s="60" t="n">
        <v>46175.41056712963</v>
      </c>
      <c r="J94" t="n">
        <v>3</v>
      </c>
      <c r="K94" t="inlineStr">
        <is>
          <t>높이 측정 데이터#3</t>
        </is>
      </c>
      <c r="L94" t="inlineStr">
        <is>
          <t>T</t>
        </is>
      </c>
      <c r="M94" t="n">
        <v>-0.13</v>
      </c>
      <c r="R94" t="inlineStr">
        <is>
          <t>OK</t>
        </is>
      </c>
      <c r="S94" t="inlineStr">
        <is>
          <t>검사데이터_조회_터미널단자높이_260504~0602</t>
        </is>
      </c>
      <c r="T94" t="n">
        <v>19</v>
      </c>
      <c r="U94" t="inlineStr">
        <is>
          <t>2026-06-02|주간|LOT=365301XFB0,SFZOT610125</t>
        </is>
      </c>
      <c r="V94" t="inlineStr">
        <is>
          <t>2026-06-02</t>
        </is>
      </c>
      <c r="W94" t="inlineStr">
        <is>
          <t>date_block</t>
        </is>
      </c>
    </row>
    <row r="95">
      <c r="A95" t="inlineStr">
        <is>
          <t>ST01</t>
        </is>
      </c>
      <c r="B95" t="inlineStr">
        <is>
          <t>ST140</t>
        </is>
      </c>
      <c r="C95" t="inlineStr">
        <is>
          <t>터미널 높이 검사</t>
        </is>
      </c>
      <c r="D95" t="inlineStr">
        <is>
          <t>ST01-140-01</t>
        </is>
      </c>
      <c r="E95" t="inlineStr">
        <is>
          <t>365301XFB0</t>
        </is>
      </c>
      <c r="F95" t="inlineStr">
        <is>
          <t>Stator Assys(MV후륜)</t>
        </is>
      </c>
      <c r="G95" t="inlineStr">
        <is>
          <t>365301XFB0,SFZOT610125</t>
        </is>
      </c>
      <c r="H95" t="inlineStr">
        <is>
          <t>OK</t>
        </is>
      </c>
      <c r="I95" s="60" t="n">
        <v>46175.41056712963</v>
      </c>
      <c r="J95" t="n">
        <v>4</v>
      </c>
      <c r="K95" t="inlineStr">
        <is>
          <t>높이 측정 데이터#4</t>
        </is>
      </c>
      <c r="L95" t="inlineStr">
        <is>
          <t>T</t>
        </is>
      </c>
      <c r="M95" t="n">
        <v>-0.07000000000000001</v>
      </c>
      <c r="R95" t="inlineStr">
        <is>
          <t>OK</t>
        </is>
      </c>
      <c r="S95" t="inlineStr">
        <is>
          <t>검사데이터_조회_터미널단자높이_260504~0602</t>
        </is>
      </c>
      <c r="T95" t="n">
        <v>19</v>
      </c>
      <c r="U95" t="inlineStr">
        <is>
          <t>2026-06-02|주간|LOT=365301XFB0,SFZOT610125</t>
        </is>
      </c>
      <c r="V95" t="inlineStr">
        <is>
          <t>2026-06-02</t>
        </is>
      </c>
      <c r="W95" t="inlineStr">
        <is>
          <t>date_block</t>
        </is>
      </c>
    </row>
    <row r="96">
      <c r="A96" t="inlineStr">
        <is>
          <t>ST01</t>
        </is>
      </c>
      <c r="B96" t="inlineStr">
        <is>
          <t>ST140</t>
        </is>
      </c>
      <c r="C96" t="inlineStr">
        <is>
          <t>터미널 높이 검사</t>
        </is>
      </c>
      <c r="D96" t="inlineStr">
        <is>
          <t>ST01-140-01</t>
        </is>
      </c>
      <c r="E96" t="inlineStr">
        <is>
          <t>365301XFB0</t>
        </is>
      </c>
      <c r="F96" t="inlineStr">
        <is>
          <t>Stator Assys(MV후륜)</t>
        </is>
      </c>
      <c r="G96" t="inlineStr">
        <is>
          <t>365301XFB0,SFZOT610125</t>
        </is>
      </c>
      <c r="H96" t="inlineStr">
        <is>
          <t>OK</t>
        </is>
      </c>
      <c r="I96" s="60" t="n">
        <v>46175.41056712963</v>
      </c>
      <c r="J96" t="n">
        <v>5</v>
      </c>
      <c r="K96" t="inlineStr">
        <is>
          <t>높이 측정 데이터#5</t>
        </is>
      </c>
      <c r="L96" t="inlineStr">
        <is>
          <t>T</t>
        </is>
      </c>
      <c r="M96" t="n">
        <v>-0.14</v>
      </c>
      <c r="R96" t="inlineStr">
        <is>
          <t>OK</t>
        </is>
      </c>
      <c r="S96" t="inlineStr">
        <is>
          <t>검사데이터_조회_터미널단자높이_260504~0602</t>
        </is>
      </c>
      <c r="T96" t="n">
        <v>19</v>
      </c>
      <c r="U96" t="inlineStr">
        <is>
          <t>2026-06-02|주간|LOT=365301XFB0,SFZOT610125</t>
        </is>
      </c>
      <c r="V96" t="inlineStr">
        <is>
          <t>2026-06-02</t>
        </is>
      </c>
      <c r="W96" t="inlineStr">
        <is>
          <t>date_block</t>
        </is>
      </c>
    </row>
    <row r="97">
      <c r="A97" t="inlineStr">
        <is>
          <t>ST01</t>
        </is>
      </c>
      <c r="B97" t="inlineStr">
        <is>
          <t>ST140</t>
        </is>
      </c>
      <c r="C97" t="inlineStr">
        <is>
          <t>터미널 높이 검사</t>
        </is>
      </c>
      <c r="D97" t="inlineStr">
        <is>
          <t>ST01-140-01</t>
        </is>
      </c>
      <c r="E97" t="inlineStr">
        <is>
          <t>365301XFB0</t>
        </is>
      </c>
      <c r="F97" t="inlineStr">
        <is>
          <t>Stator Assys(MV후륜)</t>
        </is>
      </c>
      <c r="G97" t="inlineStr">
        <is>
          <t>365301XFB0,SFZOT5S0180</t>
        </is>
      </c>
      <c r="H97" t="inlineStr">
        <is>
          <t>OK</t>
        </is>
      </c>
      <c r="I97" s="60" t="n">
        <v>46168.47393518518</v>
      </c>
      <c r="J97" t="n">
        <v>1</v>
      </c>
      <c r="K97" t="inlineStr">
        <is>
          <t>높이 측정 데이터#1</t>
        </is>
      </c>
      <c r="L97" t="inlineStr">
        <is>
          <t>T</t>
        </is>
      </c>
      <c r="M97" t="n">
        <v>-0.24</v>
      </c>
      <c r="R97" t="inlineStr">
        <is>
          <t>OK</t>
        </is>
      </c>
      <c r="S97" t="inlineStr">
        <is>
          <t>검사데이터_조회_터미널단자높이_260504~0602</t>
        </is>
      </c>
      <c r="T97" t="n">
        <v>20</v>
      </c>
      <c r="U97" t="inlineStr">
        <is>
          <t>2026-05-26|주간|LOT=365301XFB0,SFZOT5S0180</t>
        </is>
      </c>
      <c r="V97" t="inlineStr">
        <is>
          <t>2026-05-26</t>
        </is>
      </c>
      <c r="W97" t="inlineStr">
        <is>
          <t>date_block</t>
        </is>
      </c>
    </row>
    <row r="98">
      <c r="A98" t="inlineStr">
        <is>
          <t>ST01</t>
        </is>
      </c>
      <c r="B98" t="inlineStr">
        <is>
          <t>ST140</t>
        </is>
      </c>
      <c r="C98" t="inlineStr">
        <is>
          <t>터미널 높이 검사</t>
        </is>
      </c>
      <c r="D98" t="inlineStr">
        <is>
          <t>ST01-140-01</t>
        </is>
      </c>
      <c r="E98" t="inlineStr">
        <is>
          <t>365301XFB0</t>
        </is>
      </c>
      <c r="F98" t="inlineStr">
        <is>
          <t>Stator Assys(MV후륜)</t>
        </is>
      </c>
      <c r="G98" t="inlineStr">
        <is>
          <t>365301XFB0,SFZOT5S0180</t>
        </is>
      </c>
      <c r="H98" t="inlineStr">
        <is>
          <t>OK</t>
        </is>
      </c>
      <c r="I98" s="60" t="n">
        <v>46168.47393518518</v>
      </c>
      <c r="J98" t="n">
        <v>2</v>
      </c>
      <c r="K98" t="inlineStr">
        <is>
          <t>높이 측정 데이터#2</t>
        </is>
      </c>
      <c r="L98" t="inlineStr">
        <is>
          <t>T</t>
        </is>
      </c>
      <c r="M98" t="n">
        <v>-0.09</v>
      </c>
      <c r="R98" t="inlineStr">
        <is>
          <t>OK</t>
        </is>
      </c>
      <c r="S98" t="inlineStr">
        <is>
          <t>검사데이터_조회_터미널단자높이_260504~0602</t>
        </is>
      </c>
      <c r="T98" t="n">
        <v>20</v>
      </c>
      <c r="U98" t="inlineStr">
        <is>
          <t>2026-05-26|주간|LOT=365301XFB0,SFZOT5S0180</t>
        </is>
      </c>
      <c r="V98" t="inlineStr">
        <is>
          <t>2026-05-26</t>
        </is>
      </c>
      <c r="W98" t="inlineStr">
        <is>
          <t>date_block</t>
        </is>
      </c>
    </row>
    <row r="99">
      <c r="A99" t="inlineStr">
        <is>
          <t>ST01</t>
        </is>
      </c>
      <c r="B99" t="inlineStr">
        <is>
          <t>ST140</t>
        </is>
      </c>
      <c r="C99" t="inlineStr">
        <is>
          <t>터미널 높이 검사</t>
        </is>
      </c>
      <c r="D99" t="inlineStr">
        <is>
          <t>ST01-140-01</t>
        </is>
      </c>
      <c r="E99" t="inlineStr">
        <is>
          <t>365301XFB0</t>
        </is>
      </c>
      <c r="F99" t="inlineStr">
        <is>
          <t>Stator Assys(MV후륜)</t>
        </is>
      </c>
      <c r="G99" t="inlineStr">
        <is>
          <t>365301XFB0,SFZOT5S0180</t>
        </is>
      </c>
      <c r="H99" t="inlineStr">
        <is>
          <t>OK</t>
        </is>
      </c>
      <c r="I99" s="60" t="n">
        <v>46168.47393518518</v>
      </c>
      <c r="J99" t="n">
        <v>3</v>
      </c>
      <c r="K99" t="inlineStr">
        <is>
          <t>높이 측정 데이터#3</t>
        </is>
      </c>
      <c r="L99" t="inlineStr">
        <is>
          <t>T</t>
        </is>
      </c>
      <c r="M99" t="n">
        <v>-0.2</v>
      </c>
      <c r="R99" t="inlineStr">
        <is>
          <t>OK</t>
        </is>
      </c>
      <c r="S99" t="inlineStr">
        <is>
          <t>검사데이터_조회_터미널단자높이_260504~0602</t>
        </is>
      </c>
      <c r="T99" t="n">
        <v>20</v>
      </c>
      <c r="U99" t="inlineStr">
        <is>
          <t>2026-05-26|주간|LOT=365301XFB0,SFZOT5S0180</t>
        </is>
      </c>
      <c r="V99" t="inlineStr">
        <is>
          <t>2026-05-26</t>
        </is>
      </c>
      <c r="W99" t="inlineStr">
        <is>
          <t>date_block</t>
        </is>
      </c>
    </row>
    <row r="100">
      <c r="A100" t="inlineStr">
        <is>
          <t>ST01</t>
        </is>
      </c>
      <c r="B100" t="inlineStr">
        <is>
          <t>ST140</t>
        </is>
      </c>
      <c r="C100" t="inlineStr">
        <is>
          <t>터미널 높이 검사</t>
        </is>
      </c>
      <c r="D100" t="inlineStr">
        <is>
          <t>ST01-140-01</t>
        </is>
      </c>
      <c r="E100" t="inlineStr">
        <is>
          <t>365301XFB0</t>
        </is>
      </c>
      <c r="F100" t="inlineStr">
        <is>
          <t>Stator Assys(MV후륜)</t>
        </is>
      </c>
      <c r="G100" t="inlineStr">
        <is>
          <t>365301XFB0,SFZOT5S0180</t>
        </is>
      </c>
      <c r="H100" t="inlineStr">
        <is>
          <t>OK</t>
        </is>
      </c>
      <c r="I100" s="60" t="n">
        <v>46168.47393518518</v>
      </c>
      <c r="J100" t="n">
        <v>4</v>
      </c>
      <c r="K100" t="inlineStr">
        <is>
          <t>높이 측정 데이터#4</t>
        </is>
      </c>
      <c r="L100" t="inlineStr">
        <is>
          <t>T</t>
        </is>
      </c>
      <c r="M100" t="n">
        <v>-0.36</v>
      </c>
      <c r="R100" t="inlineStr">
        <is>
          <t>OK</t>
        </is>
      </c>
      <c r="S100" t="inlineStr">
        <is>
          <t>검사데이터_조회_터미널단자높이_260504~0602</t>
        </is>
      </c>
      <c r="T100" t="n">
        <v>20</v>
      </c>
      <c r="U100" t="inlineStr">
        <is>
          <t>2026-05-26|주간|LOT=365301XFB0,SFZOT5S0180</t>
        </is>
      </c>
      <c r="V100" t="inlineStr">
        <is>
          <t>2026-05-26</t>
        </is>
      </c>
      <c r="W100" t="inlineStr">
        <is>
          <t>date_block</t>
        </is>
      </c>
    </row>
    <row r="101">
      <c r="A101" t="inlineStr">
        <is>
          <t>ST01</t>
        </is>
      </c>
      <c r="B101" t="inlineStr">
        <is>
          <t>ST140</t>
        </is>
      </c>
      <c r="C101" t="inlineStr">
        <is>
          <t>터미널 높이 검사</t>
        </is>
      </c>
      <c r="D101" t="inlineStr">
        <is>
          <t>ST01-140-01</t>
        </is>
      </c>
      <c r="E101" t="inlineStr">
        <is>
          <t>365301XFB0</t>
        </is>
      </c>
      <c r="F101" t="inlineStr">
        <is>
          <t>Stator Assys(MV후륜)</t>
        </is>
      </c>
      <c r="G101" t="inlineStr">
        <is>
          <t>365301XFB0,SFZOT5S0180</t>
        </is>
      </c>
      <c r="H101" t="inlineStr">
        <is>
          <t>OK</t>
        </is>
      </c>
      <c r="I101" s="60" t="n">
        <v>46168.47393518518</v>
      </c>
      <c r="J101" t="n">
        <v>5</v>
      </c>
      <c r="K101" t="inlineStr">
        <is>
          <t>높이 측정 데이터#5</t>
        </is>
      </c>
      <c r="L101" t="inlineStr">
        <is>
          <t>T</t>
        </is>
      </c>
      <c r="M101" t="n">
        <v>-0.33</v>
      </c>
      <c r="R101" t="inlineStr">
        <is>
          <t>OK</t>
        </is>
      </c>
      <c r="S101" t="inlineStr">
        <is>
          <t>검사데이터_조회_터미널단자높이_260504~0602</t>
        </is>
      </c>
      <c r="T101" t="n">
        <v>20</v>
      </c>
      <c r="U101" t="inlineStr">
        <is>
          <t>2026-05-26|주간|LOT=365301XFB0,SFZOT5S0180</t>
        </is>
      </c>
      <c r="V101" t="inlineStr">
        <is>
          <t>2026-05-26</t>
        </is>
      </c>
      <c r="W101" t="inlineStr">
        <is>
          <t>date_block</t>
        </is>
      </c>
    </row>
    <row r="102">
      <c r="A102" t="inlineStr">
        <is>
          <t>ST01</t>
        </is>
      </c>
      <c r="B102" t="inlineStr">
        <is>
          <t>ST140</t>
        </is>
      </c>
      <c r="C102" t="inlineStr">
        <is>
          <t>터미널 높이 검사</t>
        </is>
      </c>
      <c r="D102" t="inlineStr">
        <is>
          <t>ST01-140-01</t>
        </is>
      </c>
      <c r="E102" t="inlineStr">
        <is>
          <t>365301XFB0</t>
        </is>
      </c>
      <c r="F102" t="inlineStr">
        <is>
          <t>Stator Assys(MV후륜)</t>
        </is>
      </c>
      <c r="G102" t="inlineStr">
        <is>
          <t>365301XFB0,SFZOT5E0056</t>
        </is>
      </c>
      <c r="H102" t="inlineStr">
        <is>
          <t>OK</t>
        </is>
      </c>
      <c r="I102" s="60" t="n">
        <v>46157.31310185185</v>
      </c>
      <c r="J102" t="n">
        <v>1</v>
      </c>
      <c r="K102" t="inlineStr">
        <is>
          <t>높이 측정 데이터#1</t>
        </is>
      </c>
      <c r="L102" t="inlineStr">
        <is>
          <t>T</t>
        </is>
      </c>
      <c r="M102" t="n">
        <v>-0.32</v>
      </c>
      <c r="R102" t="inlineStr">
        <is>
          <t>OK</t>
        </is>
      </c>
      <c r="S102" t="inlineStr">
        <is>
          <t>검사데이터_조회_터미널단자높이_260504~0602</t>
        </is>
      </c>
      <c r="T102" t="n">
        <v>21</v>
      </c>
      <c r="U102" t="inlineStr">
        <is>
          <t>2026-05-15|야간|LOT=365301XFB0,SFZOT5E0056</t>
        </is>
      </c>
      <c r="V102" t="inlineStr">
        <is>
          <t>2026-05-15</t>
        </is>
      </c>
      <c r="W102" t="inlineStr">
        <is>
          <t>date_block</t>
        </is>
      </c>
    </row>
    <row r="103">
      <c r="A103" t="inlineStr">
        <is>
          <t>ST01</t>
        </is>
      </c>
      <c r="B103" t="inlineStr">
        <is>
          <t>ST140</t>
        </is>
      </c>
      <c r="C103" t="inlineStr">
        <is>
          <t>터미널 높이 검사</t>
        </is>
      </c>
      <c r="D103" t="inlineStr">
        <is>
          <t>ST01-140-01</t>
        </is>
      </c>
      <c r="E103" t="inlineStr">
        <is>
          <t>365301XFB0</t>
        </is>
      </c>
      <c r="F103" t="inlineStr">
        <is>
          <t>Stator Assys(MV후륜)</t>
        </is>
      </c>
      <c r="G103" t="inlineStr">
        <is>
          <t>365301XFB0,SFZOT5E0056</t>
        </is>
      </c>
      <c r="H103" t="inlineStr">
        <is>
          <t>OK</t>
        </is>
      </c>
      <c r="I103" s="60" t="n">
        <v>46157.31310185185</v>
      </c>
      <c r="J103" t="n">
        <v>2</v>
      </c>
      <c r="K103" t="inlineStr">
        <is>
          <t>높이 측정 데이터#2</t>
        </is>
      </c>
      <c r="L103" t="inlineStr">
        <is>
          <t>T</t>
        </is>
      </c>
      <c r="M103" t="n">
        <v>-0.16</v>
      </c>
      <c r="R103" t="inlineStr">
        <is>
          <t>OK</t>
        </is>
      </c>
      <c r="S103" t="inlineStr">
        <is>
          <t>검사데이터_조회_터미널단자높이_260504~0602</t>
        </is>
      </c>
      <c r="T103" t="n">
        <v>21</v>
      </c>
      <c r="U103" t="inlineStr">
        <is>
          <t>2026-05-15|야간|LOT=365301XFB0,SFZOT5E0056</t>
        </is>
      </c>
      <c r="V103" t="inlineStr">
        <is>
          <t>2026-05-15</t>
        </is>
      </c>
      <c r="W103" t="inlineStr">
        <is>
          <t>date_block</t>
        </is>
      </c>
    </row>
    <row r="104">
      <c r="A104" t="inlineStr">
        <is>
          <t>ST01</t>
        </is>
      </c>
      <c r="B104" t="inlineStr">
        <is>
          <t>ST140</t>
        </is>
      </c>
      <c r="C104" t="inlineStr">
        <is>
          <t>터미널 높이 검사</t>
        </is>
      </c>
      <c r="D104" t="inlineStr">
        <is>
          <t>ST01-140-01</t>
        </is>
      </c>
      <c r="E104" t="inlineStr">
        <is>
          <t>365301XFB0</t>
        </is>
      </c>
      <c r="F104" t="inlineStr">
        <is>
          <t>Stator Assys(MV후륜)</t>
        </is>
      </c>
      <c r="G104" t="inlineStr">
        <is>
          <t>365301XFB0,SFZOT5E0056</t>
        </is>
      </c>
      <c r="H104" t="inlineStr">
        <is>
          <t>OK</t>
        </is>
      </c>
      <c r="I104" s="60" t="n">
        <v>46157.31310185185</v>
      </c>
      <c r="J104" t="n">
        <v>3</v>
      </c>
      <c r="K104" t="inlineStr">
        <is>
          <t>높이 측정 데이터#3</t>
        </is>
      </c>
      <c r="L104" t="inlineStr">
        <is>
          <t>T</t>
        </is>
      </c>
      <c r="M104" t="n">
        <v>-0.2</v>
      </c>
      <c r="R104" t="inlineStr">
        <is>
          <t>OK</t>
        </is>
      </c>
      <c r="S104" t="inlineStr">
        <is>
          <t>검사데이터_조회_터미널단자높이_260504~0602</t>
        </is>
      </c>
      <c r="T104" t="n">
        <v>21</v>
      </c>
      <c r="U104" t="inlineStr">
        <is>
          <t>2026-05-15|야간|LOT=365301XFB0,SFZOT5E0056</t>
        </is>
      </c>
      <c r="V104" t="inlineStr">
        <is>
          <t>2026-05-15</t>
        </is>
      </c>
      <c r="W104" t="inlineStr">
        <is>
          <t>date_block</t>
        </is>
      </c>
    </row>
    <row r="105">
      <c r="A105" t="inlineStr">
        <is>
          <t>ST01</t>
        </is>
      </c>
      <c r="B105" t="inlineStr">
        <is>
          <t>ST140</t>
        </is>
      </c>
      <c r="C105" t="inlineStr">
        <is>
          <t>터미널 높이 검사</t>
        </is>
      </c>
      <c r="D105" t="inlineStr">
        <is>
          <t>ST01-140-01</t>
        </is>
      </c>
      <c r="E105" t="inlineStr">
        <is>
          <t>365301XFB0</t>
        </is>
      </c>
      <c r="F105" t="inlineStr">
        <is>
          <t>Stator Assys(MV후륜)</t>
        </is>
      </c>
      <c r="G105" t="inlineStr">
        <is>
          <t>365301XFB0,SFZOT5E0056</t>
        </is>
      </c>
      <c r="H105" t="inlineStr">
        <is>
          <t>OK</t>
        </is>
      </c>
      <c r="I105" s="60" t="n">
        <v>46157.31310185185</v>
      </c>
      <c r="J105" t="n">
        <v>4</v>
      </c>
      <c r="K105" t="inlineStr">
        <is>
          <t>높이 측정 데이터#4</t>
        </is>
      </c>
      <c r="L105" t="inlineStr">
        <is>
          <t>T</t>
        </is>
      </c>
      <c r="M105" t="n">
        <v>-0.2</v>
      </c>
      <c r="R105" t="inlineStr">
        <is>
          <t>OK</t>
        </is>
      </c>
      <c r="S105" t="inlineStr">
        <is>
          <t>검사데이터_조회_터미널단자높이_260504~0602</t>
        </is>
      </c>
      <c r="T105" t="n">
        <v>21</v>
      </c>
      <c r="U105" t="inlineStr">
        <is>
          <t>2026-05-15|야간|LOT=365301XFB0,SFZOT5E0056</t>
        </is>
      </c>
      <c r="V105" t="inlineStr">
        <is>
          <t>2026-05-15</t>
        </is>
      </c>
      <c r="W105" t="inlineStr">
        <is>
          <t>date_block</t>
        </is>
      </c>
    </row>
    <row r="106">
      <c r="A106" t="inlineStr">
        <is>
          <t>ST01</t>
        </is>
      </c>
      <c r="B106" t="inlineStr">
        <is>
          <t>ST140</t>
        </is>
      </c>
      <c r="C106" t="inlineStr">
        <is>
          <t>터미널 높이 검사</t>
        </is>
      </c>
      <c r="D106" t="inlineStr">
        <is>
          <t>ST01-140-01</t>
        </is>
      </c>
      <c r="E106" t="inlineStr">
        <is>
          <t>365301XFB0</t>
        </is>
      </c>
      <c r="F106" t="inlineStr">
        <is>
          <t>Stator Assys(MV후륜)</t>
        </is>
      </c>
      <c r="G106" t="inlineStr">
        <is>
          <t>365301XFB0,SFZOT5E0056</t>
        </is>
      </c>
      <c r="H106" t="inlineStr">
        <is>
          <t>OK</t>
        </is>
      </c>
      <c r="I106" s="60" t="n">
        <v>46157.31310185185</v>
      </c>
      <c r="J106" t="n">
        <v>5</v>
      </c>
      <c r="K106" t="inlineStr">
        <is>
          <t>높이 측정 데이터#5</t>
        </is>
      </c>
      <c r="L106" t="inlineStr">
        <is>
          <t>T</t>
        </is>
      </c>
      <c r="M106" t="n">
        <v>-0.14</v>
      </c>
      <c r="R106" t="inlineStr">
        <is>
          <t>OK</t>
        </is>
      </c>
      <c r="S106" t="inlineStr">
        <is>
          <t>검사데이터_조회_터미널단자높이_260504~0602</t>
        </is>
      </c>
      <c r="T106" t="n">
        <v>21</v>
      </c>
      <c r="U106" t="inlineStr">
        <is>
          <t>2026-05-15|야간|LOT=365301XFB0,SFZOT5E0056</t>
        </is>
      </c>
      <c r="V106" t="inlineStr">
        <is>
          <t>2026-05-15</t>
        </is>
      </c>
      <c r="W106" t="inlineStr">
        <is>
          <t>date_block</t>
        </is>
      </c>
    </row>
    <row r="107">
      <c r="A107" t="inlineStr">
        <is>
          <t>ST01</t>
        </is>
      </c>
      <c r="B107" t="inlineStr">
        <is>
          <t>ST140</t>
        </is>
      </c>
      <c r="C107" t="inlineStr">
        <is>
          <t>터미널 높이 검사</t>
        </is>
      </c>
      <c r="D107" t="inlineStr">
        <is>
          <t>ST01-140-01</t>
        </is>
      </c>
      <c r="E107" t="inlineStr">
        <is>
          <t>365301XFB0</t>
        </is>
      </c>
      <c r="F107" t="inlineStr">
        <is>
          <t>Stator Assys(MV후륜)</t>
        </is>
      </c>
      <c r="G107" t="inlineStr">
        <is>
          <t>365301XFB0,SFZOT5L0049</t>
        </is>
      </c>
      <c r="H107" t="inlineStr">
        <is>
          <t>OK</t>
        </is>
      </c>
      <c r="I107" s="60" t="n">
        <v>46164.3011574074</v>
      </c>
      <c r="J107" t="n">
        <v>1</v>
      </c>
      <c r="K107" t="inlineStr">
        <is>
          <t>높이 측정 데이터#1</t>
        </is>
      </c>
      <c r="L107" t="inlineStr">
        <is>
          <t>T</t>
        </is>
      </c>
      <c r="M107" t="n">
        <v>-0.02</v>
      </c>
      <c r="R107" t="inlineStr">
        <is>
          <t>OK</t>
        </is>
      </c>
      <c r="S107" t="inlineStr">
        <is>
          <t>검사데이터_조회_터미널단자높이_260504~0602</t>
        </is>
      </c>
      <c r="T107" t="n">
        <v>22</v>
      </c>
      <c r="U107" t="inlineStr">
        <is>
          <t>2026-05-22|야간|LOT=365301XFB0,SFZOT5L0049</t>
        </is>
      </c>
      <c r="V107" t="inlineStr">
        <is>
          <t>2026-05-22</t>
        </is>
      </c>
      <c r="W107" t="inlineStr">
        <is>
          <t>date_block</t>
        </is>
      </c>
    </row>
    <row r="108">
      <c r="A108" t="inlineStr">
        <is>
          <t>ST01</t>
        </is>
      </c>
      <c r="B108" t="inlineStr">
        <is>
          <t>ST140</t>
        </is>
      </c>
      <c r="C108" t="inlineStr">
        <is>
          <t>터미널 높이 검사</t>
        </is>
      </c>
      <c r="D108" t="inlineStr">
        <is>
          <t>ST01-140-01</t>
        </is>
      </c>
      <c r="E108" t="inlineStr">
        <is>
          <t>365301XFB0</t>
        </is>
      </c>
      <c r="F108" t="inlineStr">
        <is>
          <t>Stator Assys(MV후륜)</t>
        </is>
      </c>
      <c r="G108" t="inlineStr">
        <is>
          <t>365301XFB0,SFZOT5L0049</t>
        </is>
      </c>
      <c r="H108" t="inlineStr">
        <is>
          <t>OK</t>
        </is>
      </c>
      <c r="I108" s="60" t="n">
        <v>46164.3011574074</v>
      </c>
      <c r="J108" t="n">
        <v>2</v>
      </c>
      <c r="K108" t="inlineStr">
        <is>
          <t>높이 측정 데이터#2</t>
        </is>
      </c>
      <c r="L108" t="inlineStr">
        <is>
          <t>T</t>
        </is>
      </c>
      <c r="M108" t="n">
        <v>0.13</v>
      </c>
      <c r="R108" t="inlineStr">
        <is>
          <t>OK</t>
        </is>
      </c>
      <c r="S108" t="inlineStr">
        <is>
          <t>검사데이터_조회_터미널단자높이_260504~0602</t>
        </is>
      </c>
      <c r="T108" t="n">
        <v>22</v>
      </c>
      <c r="U108" t="inlineStr">
        <is>
          <t>2026-05-22|야간|LOT=365301XFB0,SFZOT5L0049</t>
        </is>
      </c>
      <c r="V108" t="inlineStr">
        <is>
          <t>2026-05-22</t>
        </is>
      </c>
      <c r="W108" t="inlineStr">
        <is>
          <t>date_block</t>
        </is>
      </c>
    </row>
    <row r="109">
      <c r="A109" t="inlineStr">
        <is>
          <t>ST01</t>
        </is>
      </c>
      <c r="B109" t="inlineStr">
        <is>
          <t>ST140</t>
        </is>
      </c>
      <c r="C109" t="inlineStr">
        <is>
          <t>터미널 높이 검사</t>
        </is>
      </c>
      <c r="D109" t="inlineStr">
        <is>
          <t>ST01-140-01</t>
        </is>
      </c>
      <c r="E109" t="inlineStr">
        <is>
          <t>365301XFB0</t>
        </is>
      </c>
      <c r="F109" t="inlineStr">
        <is>
          <t>Stator Assys(MV후륜)</t>
        </is>
      </c>
      <c r="G109" t="inlineStr">
        <is>
          <t>365301XFB0,SFZOT5L0049</t>
        </is>
      </c>
      <c r="H109" t="inlineStr">
        <is>
          <t>OK</t>
        </is>
      </c>
      <c r="I109" s="60" t="n">
        <v>46164.3011574074</v>
      </c>
      <c r="J109" t="n">
        <v>3</v>
      </c>
      <c r="K109" t="inlineStr">
        <is>
          <t>높이 측정 데이터#3</t>
        </is>
      </c>
      <c r="L109" t="inlineStr">
        <is>
          <t>T</t>
        </is>
      </c>
      <c r="M109" t="n">
        <v>0.03</v>
      </c>
      <c r="R109" t="inlineStr">
        <is>
          <t>OK</t>
        </is>
      </c>
      <c r="S109" t="inlineStr">
        <is>
          <t>검사데이터_조회_터미널단자높이_260504~0602</t>
        </is>
      </c>
      <c r="T109" t="n">
        <v>22</v>
      </c>
      <c r="U109" t="inlineStr">
        <is>
          <t>2026-05-22|야간|LOT=365301XFB0,SFZOT5L0049</t>
        </is>
      </c>
      <c r="V109" t="inlineStr">
        <is>
          <t>2026-05-22</t>
        </is>
      </c>
      <c r="W109" t="inlineStr">
        <is>
          <t>date_block</t>
        </is>
      </c>
    </row>
    <row r="110">
      <c r="A110" t="inlineStr">
        <is>
          <t>ST01</t>
        </is>
      </c>
      <c r="B110" t="inlineStr">
        <is>
          <t>ST140</t>
        </is>
      </c>
      <c r="C110" t="inlineStr">
        <is>
          <t>터미널 높이 검사</t>
        </is>
      </c>
      <c r="D110" t="inlineStr">
        <is>
          <t>ST01-140-01</t>
        </is>
      </c>
      <c r="E110" t="inlineStr">
        <is>
          <t>365301XFB0</t>
        </is>
      </c>
      <c r="F110" t="inlineStr">
        <is>
          <t>Stator Assys(MV후륜)</t>
        </is>
      </c>
      <c r="G110" t="inlineStr">
        <is>
          <t>365301XFB0,SFZOT5L0049</t>
        </is>
      </c>
      <c r="H110" t="inlineStr">
        <is>
          <t>OK</t>
        </is>
      </c>
      <c r="I110" s="60" t="n">
        <v>46164.3011574074</v>
      </c>
      <c r="J110" t="n">
        <v>4</v>
      </c>
      <c r="K110" t="inlineStr">
        <is>
          <t>높이 측정 데이터#4</t>
        </is>
      </c>
      <c r="L110" t="inlineStr">
        <is>
          <t>T</t>
        </is>
      </c>
      <c r="M110" t="n">
        <v>0.1</v>
      </c>
      <c r="R110" t="inlineStr">
        <is>
          <t>OK</t>
        </is>
      </c>
      <c r="S110" t="inlineStr">
        <is>
          <t>검사데이터_조회_터미널단자높이_260504~0602</t>
        </is>
      </c>
      <c r="T110" t="n">
        <v>22</v>
      </c>
      <c r="U110" t="inlineStr">
        <is>
          <t>2026-05-22|야간|LOT=365301XFB0,SFZOT5L0049</t>
        </is>
      </c>
      <c r="V110" t="inlineStr">
        <is>
          <t>2026-05-22</t>
        </is>
      </c>
      <c r="W110" t="inlineStr">
        <is>
          <t>date_block</t>
        </is>
      </c>
    </row>
    <row r="111">
      <c r="A111" t="inlineStr">
        <is>
          <t>ST01</t>
        </is>
      </c>
      <c r="B111" t="inlineStr">
        <is>
          <t>ST140</t>
        </is>
      </c>
      <c r="C111" t="inlineStr">
        <is>
          <t>터미널 높이 검사</t>
        </is>
      </c>
      <c r="D111" t="inlineStr">
        <is>
          <t>ST01-140-01</t>
        </is>
      </c>
      <c r="E111" t="inlineStr">
        <is>
          <t>365301XFB0</t>
        </is>
      </c>
      <c r="F111" t="inlineStr">
        <is>
          <t>Stator Assys(MV후륜)</t>
        </is>
      </c>
      <c r="G111" t="inlineStr">
        <is>
          <t>365301XFB0,SFZOT5L0049</t>
        </is>
      </c>
      <c r="H111" t="inlineStr">
        <is>
          <t>OK</t>
        </is>
      </c>
      <c r="I111" s="60" t="n">
        <v>46164.3011574074</v>
      </c>
      <c r="J111" t="n">
        <v>5</v>
      </c>
      <c r="K111" t="inlineStr">
        <is>
          <t>높이 측정 데이터#5</t>
        </is>
      </c>
      <c r="L111" t="inlineStr">
        <is>
          <t>T</t>
        </is>
      </c>
      <c r="M111" t="n">
        <v>-0.06</v>
      </c>
      <c r="R111" t="inlineStr">
        <is>
          <t>OK</t>
        </is>
      </c>
      <c r="S111" t="inlineStr">
        <is>
          <t>검사데이터_조회_터미널단자높이_260504~0602</t>
        </is>
      </c>
      <c r="T111" t="n">
        <v>22</v>
      </c>
      <c r="U111" t="inlineStr">
        <is>
          <t>2026-05-22|야간|LOT=365301XFB0,SFZOT5L0049</t>
        </is>
      </c>
      <c r="V111" t="inlineStr">
        <is>
          <t>2026-05-22</t>
        </is>
      </c>
      <c r="W111" t="inlineStr">
        <is>
          <t>date_block</t>
        </is>
      </c>
    </row>
    <row r="112">
      <c r="A112" t="inlineStr">
        <is>
          <t>ST01</t>
        </is>
      </c>
      <c r="B112" t="inlineStr">
        <is>
          <t>ST140</t>
        </is>
      </c>
      <c r="C112" t="inlineStr">
        <is>
          <t>터미널 높이 검사</t>
        </is>
      </c>
      <c r="D112" t="inlineStr">
        <is>
          <t>ST01-140-01</t>
        </is>
      </c>
      <c r="E112" t="inlineStr">
        <is>
          <t>365301XFB0</t>
        </is>
      </c>
      <c r="F112" t="inlineStr">
        <is>
          <t>Stator Assys(MV후륜)</t>
        </is>
      </c>
      <c r="G112" t="inlineStr">
        <is>
          <t>365301XFB0,SFZOT5K0101</t>
        </is>
      </c>
      <c r="H112" t="inlineStr">
        <is>
          <t>OK</t>
        </is>
      </c>
      <c r="I112" s="60" t="n">
        <v>46163.31504629629</v>
      </c>
      <c r="J112" t="n">
        <v>1</v>
      </c>
      <c r="K112" t="inlineStr">
        <is>
          <t>높이 측정 데이터#1</t>
        </is>
      </c>
      <c r="L112" t="inlineStr">
        <is>
          <t>T</t>
        </is>
      </c>
      <c r="M112" t="n">
        <v>0</v>
      </c>
      <c r="R112" t="inlineStr">
        <is>
          <t>OK</t>
        </is>
      </c>
      <c r="S112" t="inlineStr">
        <is>
          <t>검사데이터_조회_터미널단자높이_260504~0602</t>
        </is>
      </c>
      <c r="T112" t="n">
        <v>23</v>
      </c>
      <c r="U112" t="inlineStr">
        <is>
          <t>2026-05-21|야간|LOT=365301XFB0,SFZOT5K0101</t>
        </is>
      </c>
      <c r="V112" t="inlineStr">
        <is>
          <t>2026-05-21</t>
        </is>
      </c>
      <c r="W112" t="inlineStr">
        <is>
          <t>date_block</t>
        </is>
      </c>
    </row>
    <row r="113">
      <c r="A113" t="inlineStr">
        <is>
          <t>ST01</t>
        </is>
      </c>
      <c r="B113" t="inlineStr">
        <is>
          <t>ST140</t>
        </is>
      </c>
      <c r="C113" t="inlineStr">
        <is>
          <t>터미널 높이 검사</t>
        </is>
      </c>
      <c r="D113" t="inlineStr">
        <is>
          <t>ST01-140-01</t>
        </is>
      </c>
      <c r="E113" t="inlineStr">
        <is>
          <t>365301XFB0</t>
        </is>
      </c>
      <c r="F113" t="inlineStr">
        <is>
          <t>Stator Assys(MV후륜)</t>
        </is>
      </c>
      <c r="G113" t="inlineStr">
        <is>
          <t>365301XFB0,SFZOT5K0101</t>
        </is>
      </c>
      <c r="H113" t="inlineStr">
        <is>
          <t>OK</t>
        </is>
      </c>
      <c r="I113" s="60" t="n">
        <v>46163.31504629629</v>
      </c>
      <c r="J113" t="n">
        <v>2</v>
      </c>
      <c r="K113" t="inlineStr">
        <is>
          <t>높이 측정 데이터#2</t>
        </is>
      </c>
      <c r="L113" t="inlineStr">
        <is>
          <t>T</t>
        </is>
      </c>
      <c r="M113" t="n">
        <v>0.13</v>
      </c>
      <c r="R113" t="inlineStr">
        <is>
          <t>OK</t>
        </is>
      </c>
      <c r="S113" t="inlineStr">
        <is>
          <t>검사데이터_조회_터미널단자높이_260504~0602</t>
        </is>
      </c>
      <c r="T113" t="n">
        <v>23</v>
      </c>
      <c r="U113" t="inlineStr">
        <is>
          <t>2026-05-21|야간|LOT=365301XFB0,SFZOT5K0101</t>
        </is>
      </c>
      <c r="V113" t="inlineStr">
        <is>
          <t>2026-05-21</t>
        </is>
      </c>
      <c r="W113" t="inlineStr">
        <is>
          <t>date_block</t>
        </is>
      </c>
    </row>
    <row r="114">
      <c r="A114" t="inlineStr">
        <is>
          <t>ST01</t>
        </is>
      </c>
      <c r="B114" t="inlineStr">
        <is>
          <t>ST140</t>
        </is>
      </c>
      <c r="C114" t="inlineStr">
        <is>
          <t>터미널 높이 검사</t>
        </is>
      </c>
      <c r="D114" t="inlineStr">
        <is>
          <t>ST01-140-01</t>
        </is>
      </c>
      <c r="E114" t="inlineStr">
        <is>
          <t>365301XFB0</t>
        </is>
      </c>
      <c r="F114" t="inlineStr">
        <is>
          <t>Stator Assys(MV후륜)</t>
        </is>
      </c>
      <c r="G114" t="inlineStr">
        <is>
          <t>365301XFB0,SFZOT5K0101</t>
        </is>
      </c>
      <c r="H114" t="inlineStr">
        <is>
          <t>OK</t>
        </is>
      </c>
      <c r="I114" s="60" t="n">
        <v>46163.31504629629</v>
      </c>
      <c r="J114" t="n">
        <v>3</v>
      </c>
      <c r="K114" t="inlineStr">
        <is>
          <t>높이 측정 데이터#3</t>
        </is>
      </c>
      <c r="L114" t="inlineStr">
        <is>
          <t>T</t>
        </is>
      </c>
      <c r="M114" t="n">
        <v>-0.02</v>
      </c>
      <c r="R114" t="inlineStr">
        <is>
          <t>OK</t>
        </is>
      </c>
      <c r="S114" t="inlineStr">
        <is>
          <t>검사데이터_조회_터미널단자높이_260504~0602</t>
        </is>
      </c>
      <c r="T114" t="n">
        <v>23</v>
      </c>
      <c r="U114" t="inlineStr">
        <is>
          <t>2026-05-21|야간|LOT=365301XFB0,SFZOT5K0101</t>
        </is>
      </c>
      <c r="V114" t="inlineStr">
        <is>
          <t>2026-05-21</t>
        </is>
      </c>
      <c r="W114" t="inlineStr">
        <is>
          <t>date_block</t>
        </is>
      </c>
    </row>
    <row r="115">
      <c r="A115" t="inlineStr">
        <is>
          <t>ST01</t>
        </is>
      </c>
      <c r="B115" t="inlineStr">
        <is>
          <t>ST140</t>
        </is>
      </c>
      <c r="C115" t="inlineStr">
        <is>
          <t>터미널 높이 검사</t>
        </is>
      </c>
      <c r="D115" t="inlineStr">
        <is>
          <t>ST01-140-01</t>
        </is>
      </c>
      <c r="E115" t="inlineStr">
        <is>
          <t>365301XFB0</t>
        </is>
      </c>
      <c r="F115" t="inlineStr">
        <is>
          <t>Stator Assys(MV후륜)</t>
        </is>
      </c>
      <c r="G115" t="inlineStr">
        <is>
          <t>365301XFB0,SFZOT5K0101</t>
        </is>
      </c>
      <c r="H115" t="inlineStr">
        <is>
          <t>OK</t>
        </is>
      </c>
      <c r="I115" s="60" t="n">
        <v>46163.31504629629</v>
      </c>
      <c r="J115" t="n">
        <v>4</v>
      </c>
      <c r="K115" t="inlineStr">
        <is>
          <t>높이 측정 데이터#4</t>
        </is>
      </c>
      <c r="L115" t="inlineStr">
        <is>
          <t>T</t>
        </is>
      </c>
      <c r="M115" t="n">
        <v>-0.01</v>
      </c>
      <c r="R115" t="inlineStr">
        <is>
          <t>OK</t>
        </is>
      </c>
      <c r="S115" t="inlineStr">
        <is>
          <t>검사데이터_조회_터미널단자높이_260504~0602</t>
        </is>
      </c>
      <c r="T115" t="n">
        <v>23</v>
      </c>
      <c r="U115" t="inlineStr">
        <is>
          <t>2026-05-21|야간|LOT=365301XFB0,SFZOT5K0101</t>
        </is>
      </c>
      <c r="V115" t="inlineStr">
        <is>
          <t>2026-05-21</t>
        </is>
      </c>
      <c r="W115" t="inlineStr">
        <is>
          <t>date_block</t>
        </is>
      </c>
    </row>
    <row r="116">
      <c r="A116" t="inlineStr">
        <is>
          <t>ST01</t>
        </is>
      </c>
      <c r="B116" t="inlineStr">
        <is>
          <t>ST140</t>
        </is>
      </c>
      <c r="C116" t="inlineStr">
        <is>
          <t>터미널 높이 검사</t>
        </is>
      </c>
      <c r="D116" t="inlineStr">
        <is>
          <t>ST01-140-01</t>
        </is>
      </c>
      <c r="E116" t="inlineStr">
        <is>
          <t>365301XFB0</t>
        </is>
      </c>
      <c r="F116" t="inlineStr">
        <is>
          <t>Stator Assys(MV후륜)</t>
        </is>
      </c>
      <c r="G116" t="inlineStr">
        <is>
          <t>365301XFB0,SFZOT5K0101</t>
        </is>
      </c>
      <c r="H116" t="inlineStr">
        <is>
          <t>OK</t>
        </is>
      </c>
      <c r="I116" s="60" t="n">
        <v>46163.31504629629</v>
      </c>
      <c r="J116" t="n">
        <v>5</v>
      </c>
      <c r="K116" t="inlineStr">
        <is>
          <t>높이 측정 데이터#5</t>
        </is>
      </c>
      <c r="L116" t="inlineStr">
        <is>
          <t>T</t>
        </is>
      </c>
      <c r="M116" t="n">
        <v>-0.26</v>
      </c>
      <c r="R116" t="inlineStr">
        <is>
          <t>OK</t>
        </is>
      </c>
      <c r="S116" t="inlineStr">
        <is>
          <t>검사데이터_조회_터미널단자높이_260504~0602</t>
        </is>
      </c>
      <c r="T116" t="n">
        <v>23</v>
      </c>
      <c r="U116" t="inlineStr">
        <is>
          <t>2026-05-21|야간|LOT=365301XFB0,SFZOT5K0101</t>
        </is>
      </c>
      <c r="V116" t="inlineStr">
        <is>
          <t>2026-05-21</t>
        </is>
      </c>
      <c r="W116" t="inlineStr">
        <is>
          <t>date_block</t>
        </is>
      </c>
    </row>
    <row r="117">
      <c r="A117" t="inlineStr">
        <is>
          <t>ST01</t>
        </is>
      </c>
      <c r="B117" t="inlineStr">
        <is>
          <t>ST140</t>
        </is>
      </c>
      <c r="C117" t="inlineStr">
        <is>
          <t>터미널 높이 검사</t>
        </is>
      </c>
      <c r="D117" t="inlineStr">
        <is>
          <t>ST01-140-01</t>
        </is>
      </c>
      <c r="E117" t="inlineStr">
        <is>
          <t>365301XFB0</t>
        </is>
      </c>
      <c r="F117" t="inlineStr">
        <is>
          <t>Stator Assys(MV후륜)</t>
        </is>
      </c>
      <c r="G117" t="inlineStr">
        <is>
          <t>365301XFB0,SFZOT5F0089</t>
        </is>
      </c>
      <c r="H117" t="inlineStr">
        <is>
          <t>OK</t>
        </is>
      </c>
      <c r="I117" s="60" t="n">
        <v>46161.32241898148</v>
      </c>
      <c r="J117" t="n">
        <v>1</v>
      </c>
      <c r="K117" t="inlineStr">
        <is>
          <t>높이 측정 데이터#1</t>
        </is>
      </c>
      <c r="L117" t="inlineStr">
        <is>
          <t>T</t>
        </is>
      </c>
      <c r="M117" t="n">
        <v>-0.3</v>
      </c>
      <c r="R117" t="inlineStr">
        <is>
          <t>OK</t>
        </is>
      </c>
      <c r="S117" t="inlineStr">
        <is>
          <t>검사데이터_조회_터미널단자높이_260504~0602</t>
        </is>
      </c>
      <c r="T117" t="n">
        <v>24</v>
      </c>
      <c r="U117" t="inlineStr">
        <is>
          <t>2026-05-19|야간|LOT=365301XFB0,SFZOT5F0089</t>
        </is>
      </c>
      <c r="V117" t="inlineStr">
        <is>
          <t>2026-05-19</t>
        </is>
      </c>
      <c r="W117" t="inlineStr">
        <is>
          <t>date_block</t>
        </is>
      </c>
    </row>
    <row r="118">
      <c r="A118" t="inlineStr">
        <is>
          <t>ST01</t>
        </is>
      </c>
      <c r="B118" t="inlineStr">
        <is>
          <t>ST140</t>
        </is>
      </c>
      <c r="C118" t="inlineStr">
        <is>
          <t>터미널 높이 검사</t>
        </is>
      </c>
      <c r="D118" t="inlineStr">
        <is>
          <t>ST01-140-01</t>
        </is>
      </c>
      <c r="E118" t="inlineStr">
        <is>
          <t>365301XFB0</t>
        </is>
      </c>
      <c r="F118" t="inlineStr">
        <is>
          <t>Stator Assys(MV후륜)</t>
        </is>
      </c>
      <c r="G118" t="inlineStr">
        <is>
          <t>365301XFB0,SFZOT5F0089</t>
        </is>
      </c>
      <c r="H118" t="inlineStr">
        <is>
          <t>OK</t>
        </is>
      </c>
      <c r="I118" s="60" t="n">
        <v>46161.32241898148</v>
      </c>
      <c r="J118" t="n">
        <v>2</v>
      </c>
      <c r="K118" t="inlineStr">
        <is>
          <t>높이 측정 데이터#2</t>
        </is>
      </c>
      <c r="L118" t="inlineStr">
        <is>
          <t>T</t>
        </is>
      </c>
      <c r="M118" t="n">
        <v>-0.19</v>
      </c>
      <c r="R118" t="inlineStr">
        <is>
          <t>OK</t>
        </is>
      </c>
      <c r="S118" t="inlineStr">
        <is>
          <t>검사데이터_조회_터미널단자높이_260504~0602</t>
        </is>
      </c>
      <c r="T118" t="n">
        <v>24</v>
      </c>
      <c r="U118" t="inlineStr">
        <is>
          <t>2026-05-19|야간|LOT=365301XFB0,SFZOT5F0089</t>
        </is>
      </c>
      <c r="V118" t="inlineStr">
        <is>
          <t>2026-05-19</t>
        </is>
      </c>
      <c r="W118" t="inlineStr">
        <is>
          <t>date_block</t>
        </is>
      </c>
    </row>
    <row r="119">
      <c r="A119" t="inlineStr">
        <is>
          <t>ST01</t>
        </is>
      </c>
      <c r="B119" t="inlineStr">
        <is>
          <t>ST140</t>
        </is>
      </c>
      <c r="C119" t="inlineStr">
        <is>
          <t>터미널 높이 검사</t>
        </is>
      </c>
      <c r="D119" t="inlineStr">
        <is>
          <t>ST01-140-01</t>
        </is>
      </c>
      <c r="E119" t="inlineStr">
        <is>
          <t>365301XFB0</t>
        </is>
      </c>
      <c r="F119" t="inlineStr">
        <is>
          <t>Stator Assys(MV후륜)</t>
        </is>
      </c>
      <c r="G119" t="inlineStr">
        <is>
          <t>365301XFB0,SFZOT5F0089</t>
        </is>
      </c>
      <c r="H119" t="inlineStr">
        <is>
          <t>OK</t>
        </is>
      </c>
      <c r="I119" s="60" t="n">
        <v>46161.32241898148</v>
      </c>
      <c r="J119" t="n">
        <v>3</v>
      </c>
      <c r="K119" t="inlineStr">
        <is>
          <t>높이 측정 데이터#3</t>
        </is>
      </c>
      <c r="L119" t="inlineStr">
        <is>
          <t>T</t>
        </is>
      </c>
      <c r="M119" t="n">
        <v>-0.3</v>
      </c>
      <c r="R119" t="inlineStr">
        <is>
          <t>OK</t>
        </is>
      </c>
      <c r="S119" t="inlineStr">
        <is>
          <t>검사데이터_조회_터미널단자높이_260504~0602</t>
        </is>
      </c>
      <c r="T119" t="n">
        <v>24</v>
      </c>
      <c r="U119" t="inlineStr">
        <is>
          <t>2026-05-19|야간|LOT=365301XFB0,SFZOT5F0089</t>
        </is>
      </c>
      <c r="V119" t="inlineStr">
        <is>
          <t>2026-05-19</t>
        </is>
      </c>
      <c r="W119" t="inlineStr">
        <is>
          <t>date_block</t>
        </is>
      </c>
    </row>
    <row r="120">
      <c r="A120" t="inlineStr">
        <is>
          <t>ST01</t>
        </is>
      </c>
      <c r="B120" t="inlineStr">
        <is>
          <t>ST140</t>
        </is>
      </c>
      <c r="C120" t="inlineStr">
        <is>
          <t>터미널 높이 검사</t>
        </is>
      </c>
      <c r="D120" t="inlineStr">
        <is>
          <t>ST01-140-01</t>
        </is>
      </c>
      <c r="E120" t="inlineStr">
        <is>
          <t>365301XFB0</t>
        </is>
      </c>
      <c r="F120" t="inlineStr">
        <is>
          <t>Stator Assys(MV후륜)</t>
        </is>
      </c>
      <c r="G120" t="inlineStr">
        <is>
          <t>365301XFB0,SFZOT5F0089</t>
        </is>
      </c>
      <c r="H120" t="inlineStr">
        <is>
          <t>OK</t>
        </is>
      </c>
      <c r="I120" s="60" t="n">
        <v>46161.32241898148</v>
      </c>
      <c r="J120" t="n">
        <v>4</v>
      </c>
      <c r="K120" t="inlineStr">
        <is>
          <t>높이 측정 데이터#4</t>
        </is>
      </c>
      <c r="L120" t="inlineStr">
        <is>
          <t>T</t>
        </is>
      </c>
      <c r="M120" t="n">
        <v>-0.23</v>
      </c>
      <c r="R120" t="inlineStr">
        <is>
          <t>OK</t>
        </is>
      </c>
      <c r="S120" t="inlineStr">
        <is>
          <t>검사데이터_조회_터미널단자높이_260504~0602</t>
        </is>
      </c>
      <c r="T120" t="n">
        <v>24</v>
      </c>
      <c r="U120" t="inlineStr">
        <is>
          <t>2026-05-19|야간|LOT=365301XFB0,SFZOT5F0089</t>
        </is>
      </c>
      <c r="V120" t="inlineStr">
        <is>
          <t>2026-05-19</t>
        </is>
      </c>
      <c r="W120" t="inlineStr">
        <is>
          <t>date_block</t>
        </is>
      </c>
    </row>
    <row r="121">
      <c r="A121" t="inlineStr">
        <is>
          <t>ST01</t>
        </is>
      </c>
      <c r="B121" t="inlineStr">
        <is>
          <t>ST140</t>
        </is>
      </c>
      <c r="C121" t="inlineStr">
        <is>
          <t>터미널 높이 검사</t>
        </is>
      </c>
      <c r="D121" t="inlineStr">
        <is>
          <t>ST01-140-01</t>
        </is>
      </c>
      <c r="E121" t="inlineStr">
        <is>
          <t>365301XFB0</t>
        </is>
      </c>
      <c r="F121" t="inlineStr">
        <is>
          <t>Stator Assys(MV후륜)</t>
        </is>
      </c>
      <c r="G121" t="inlineStr">
        <is>
          <t>365301XFB0,SFZOT5F0089</t>
        </is>
      </c>
      <c r="H121" t="inlineStr">
        <is>
          <t>OK</t>
        </is>
      </c>
      <c r="I121" s="60" t="n">
        <v>46161.32241898148</v>
      </c>
      <c r="J121" t="n">
        <v>5</v>
      </c>
      <c r="K121" t="inlineStr">
        <is>
          <t>높이 측정 데이터#5</t>
        </is>
      </c>
      <c r="L121" t="inlineStr">
        <is>
          <t>T</t>
        </is>
      </c>
      <c r="M121" t="n">
        <v>-0.22</v>
      </c>
      <c r="R121" t="inlineStr">
        <is>
          <t>OK</t>
        </is>
      </c>
      <c r="S121" t="inlineStr">
        <is>
          <t>검사데이터_조회_터미널단자높이_260504~0602</t>
        </is>
      </c>
      <c r="T121" t="n">
        <v>24</v>
      </c>
      <c r="U121" t="inlineStr">
        <is>
          <t>2026-05-19|야간|LOT=365301XFB0,SFZOT5F0089</t>
        </is>
      </c>
      <c r="V121" t="inlineStr">
        <is>
          <t>2026-05-19</t>
        </is>
      </c>
      <c r="W121" t="inlineStr">
        <is>
          <t>date_block</t>
        </is>
      </c>
    </row>
    <row r="122">
      <c r="A122" t="inlineStr">
        <is>
          <t>ST01</t>
        </is>
      </c>
      <c r="B122" t="inlineStr">
        <is>
          <t>ST140</t>
        </is>
      </c>
      <c r="C122" t="inlineStr">
        <is>
          <t>터미널 높이 검사</t>
        </is>
      </c>
      <c r="D122" t="inlineStr">
        <is>
          <t>ST01-140-01</t>
        </is>
      </c>
      <c r="E122" t="inlineStr">
        <is>
          <t>365301XFB0</t>
        </is>
      </c>
      <c r="F122" t="inlineStr">
        <is>
          <t>Stator Assys(MV후륜)</t>
        </is>
      </c>
      <c r="G122" t="inlineStr">
        <is>
          <t>365301XFB0,SFZOT5B0161</t>
        </is>
      </c>
      <c r="H122" t="inlineStr">
        <is>
          <t>OK</t>
        </is>
      </c>
      <c r="I122" s="60" t="n">
        <v>46154.44358796296</v>
      </c>
      <c r="J122" t="n">
        <v>1</v>
      </c>
      <c r="K122" t="inlineStr">
        <is>
          <t>높이 측정 데이터#1</t>
        </is>
      </c>
      <c r="L122" t="inlineStr">
        <is>
          <t>T</t>
        </is>
      </c>
      <c r="M122" t="n">
        <v>0.3</v>
      </c>
      <c r="R122" t="inlineStr">
        <is>
          <t>OK</t>
        </is>
      </c>
      <c r="S122" t="inlineStr">
        <is>
          <t>검사데이터_조회_터미널단자높이_260504~0602</t>
        </is>
      </c>
      <c r="T122" t="n">
        <v>25</v>
      </c>
      <c r="U122" t="inlineStr">
        <is>
          <t>2026-05-12|주간|LOT=365301XFB0,SFZOT5B0161</t>
        </is>
      </c>
      <c r="V122" t="inlineStr">
        <is>
          <t>2026-05-12</t>
        </is>
      </c>
      <c r="W122" t="inlineStr">
        <is>
          <t>date_block</t>
        </is>
      </c>
    </row>
    <row r="123">
      <c r="A123" t="inlineStr">
        <is>
          <t>ST01</t>
        </is>
      </c>
      <c r="B123" t="inlineStr">
        <is>
          <t>ST140</t>
        </is>
      </c>
      <c r="C123" t="inlineStr">
        <is>
          <t>터미널 높이 검사</t>
        </is>
      </c>
      <c r="D123" t="inlineStr">
        <is>
          <t>ST01-140-01</t>
        </is>
      </c>
      <c r="E123" t="inlineStr">
        <is>
          <t>365301XFB0</t>
        </is>
      </c>
      <c r="F123" t="inlineStr">
        <is>
          <t>Stator Assys(MV후륜)</t>
        </is>
      </c>
      <c r="G123" t="inlineStr">
        <is>
          <t>365301XFB0,SFZOT5B0161</t>
        </is>
      </c>
      <c r="H123" t="inlineStr">
        <is>
          <t>OK</t>
        </is>
      </c>
      <c r="I123" s="60" t="n">
        <v>46154.44358796296</v>
      </c>
      <c r="J123" t="n">
        <v>2</v>
      </c>
      <c r="K123" t="inlineStr">
        <is>
          <t>높이 측정 데이터#2</t>
        </is>
      </c>
      <c r="L123" t="inlineStr">
        <is>
          <t>T</t>
        </is>
      </c>
      <c r="M123" t="n">
        <v>-0.36</v>
      </c>
      <c r="R123" t="inlineStr">
        <is>
          <t>OK</t>
        </is>
      </c>
      <c r="S123" t="inlineStr">
        <is>
          <t>검사데이터_조회_터미널단자높이_260504~0602</t>
        </is>
      </c>
      <c r="T123" t="n">
        <v>25</v>
      </c>
      <c r="U123" t="inlineStr">
        <is>
          <t>2026-05-12|주간|LOT=365301XFB0,SFZOT5B0161</t>
        </is>
      </c>
      <c r="V123" t="inlineStr">
        <is>
          <t>2026-05-12</t>
        </is>
      </c>
      <c r="W123" t="inlineStr">
        <is>
          <t>date_block</t>
        </is>
      </c>
    </row>
    <row r="124">
      <c r="A124" t="inlineStr">
        <is>
          <t>ST01</t>
        </is>
      </c>
      <c r="B124" t="inlineStr">
        <is>
          <t>ST140</t>
        </is>
      </c>
      <c r="C124" t="inlineStr">
        <is>
          <t>터미널 높이 검사</t>
        </is>
      </c>
      <c r="D124" t="inlineStr">
        <is>
          <t>ST01-140-01</t>
        </is>
      </c>
      <c r="E124" t="inlineStr">
        <is>
          <t>365301XFB0</t>
        </is>
      </c>
      <c r="F124" t="inlineStr">
        <is>
          <t>Stator Assys(MV후륜)</t>
        </is>
      </c>
      <c r="G124" t="inlineStr">
        <is>
          <t>365301XFB0,SFZOT5B0161</t>
        </is>
      </c>
      <c r="H124" t="inlineStr">
        <is>
          <t>OK</t>
        </is>
      </c>
      <c r="I124" s="60" t="n">
        <v>46154.44358796296</v>
      </c>
      <c r="J124" t="n">
        <v>3</v>
      </c>
      <c r="K124" t="inlineStr">
        <is>
          <t>높이 측정 데이터#3</t>
        </is>
      </c>
      <c r="L124" t="inlineStr">
        <is>
          <t>T</t>
        </is>
      </c>
      <c r="M124" t="n">
        <v>0.4</v>
      </c>
      <c r="R124" t="inlineStr">
        <is>
          <t>OK</t>
        </is>
      </c>
      <c r="S124" t="inlineStr">
        <is>
          <t>검사데이터_조회_터미널단자높이_260504~0602</t>
        </is>
      </c>
      <c r="T124" t="n">
        <v>25</v>
      </c>
      <c r="U124" t="inlineStr">
        <is>
          <t>2026-05-12|주간|LOT=365301XFB0,SFZOT5B0161</t>
        </is>
      </c>
      <c r="V124" t="inlineStr">
        <is>
          <t>2026-05-12</t>
        </is>
      </c>
      <c r="W124" t="inlineStr">
        <is>
          <t>date_block</t>
        </is>
      </c>
    </row>
    <row r="125">
      <c r="A125" t="inlineStr">
        <is>
          <t>ST01</t>
        </is>
      </c>
      <c r="B125" t="inlineStr">
        <is>
          <t>ST140</t>
        </is>
      </c>
      <c r="C125" t="inlineStr">
        <is>
          <t>터미널 높이 검사</t>
        </is>
      </c>
      <c r="D125" t="inlineStr">
        <is>
          <t>ST01-140-01</t>
        </is>
      </c>
      <c r="E125" t="inlineStr">
        <is>
          <t>365301XFB0</t>
        </is>
      </c>
      <c r="F125" t="inlineStr">
        <is>
          <t>Stator Assys(MV후륜)</t>
        </is>
      </c>
      <c r="G125" t="inlineStr">
        <is>
          <t>365301XFB0,SFZOT5B0161</t>
        </is>
      </c>
      <c r="H125" t="inlineStr">
        <is>
          <t>OK</t>
        </is>
      </c>
      <c r="I125" s="60" t="n">
        <v>46154.44358796296</v>
      </c>
      <c r="J125" t="n">
        <v>4</v>
      </c>
      <c r="K125" t="inlineStr">
        <is>
          <t>높이 측정 데이터#4</t>
        </is>
      </c>
      <c r="L125" t="inlineStr">
        <is>
          <t>T</t>
        </is>
      </c>
      <c r="M125" t="n">
        <v>0.35</v>
      </c>
      <c r="R125" t="inlineStr">
        <is>
          <t>OK</t>
        </is>
      </c>
      <c r="S125" t="inlineStr">
        <is>
          <t>검사데이터_조회_터미널단자높이_260504~0602</t>
        </is>
      </c>
      <c r="T125" t="n">
        <v>25</v>
      </c>
      <c r="U125" t="inlineStr">
        <is>
          <t>2026-05-12|주간|LOT=365301XFB0,SFZOT5B0161</t>
        </is>
      </c>
      <c r="V125" t="inlineStr">
        <is>
          <t>2026-05-12</t>
        </is>
      </c>
      <c r="W125" t="inlineStr">
        <is>
          <t>date_block</t>
        </is>
      </c>
    </row>
    <row r="126">
      <c r="A126" t="inlineStr">
        <is>
          <t>ST01</t>
        </is>
      </c>
      <c r="B126" t="inlineStr">
        <is>
          <t>ST140</t>
        </is>
      </c>
      <c r="C126" t="inlineStr">
        <is>
          <t>터미널 높이 검사</t>
        </is>
      </c>
      <c r="D126" t="inlineStr">
        <is>
          <t>ST01-140-01</t>
        </is>
      </c>
      <c r="E126" t="inlineStr">
        <is>
          <t>365301XFB0</t>
        </is>
      </c>
      <c r="F126" t="inlineStr">
        <is>
          <t>Stator Assys(MV후륜)</t>
        </is>
      </c>
      <c r="G126" t="inlineStr">
        <is>
          <t>365301XFB0,SFZOT5B0161</t>
        </is>
      </c>
      <c r="H126" t="inlineStr">
        <is>
          <t>OK</t>
        </is>
      </c>
      <c r="I126" s="60" t="n">
        <v>46154.44358796296</v>
      </c>
      <c r="J126" t="n">
        <v>5</v>
      </c>
      <c r="K126" t="inlineStr">
        <is>
          <t>높이 측정 데이터#5</t>
        </is>
      </c>
      <c r="L126" t="inlineStr">
        <is>
          <t>T</t>
        </is>
      </c>
      <c r="M126" t="n">
        <v>0.1</v>
      </c>
      <c r="R126" t="inlineStr">
        <is>
          <t>OK</t>
        </is>
      </c>
      <c r="S126" t="inlineStr">
        <is>
          <t>검사데이터_조회_터미널단자높이_260504~0602</t>
        </is>
      </c>
      <c r="T126" t="n">
        <v>25</v>
      </c>
      <c r="U126" t="inlineStr">
        <is>
          <t>2026-05-12|주간|LOT=365301XFB0,SFZOT5B0161</t>
        </is>
      </c>
      <c r="V126" t="inlineStr">
        <is>
          <t>2026-05-12</t>
        </is>
      </c>
      <c r="W126" t="inlineStr">
        <is>
          <t>date_block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70" customWidth="1" min="3" max="3"/>
    <col width="10" customWidth="1" min="4" max="4"/>
  </cols>
  <sheetData>
    <row r="1">
      <c r="A1" s="13" t="inlineStr">
        <is>
          <t>우선순위</t>
        </is>
      </c>
      <c r="B1" s="13" t="inlineStr">
        <is>
          <t>규칙 ID</t>
        </is>
      </c>
      <c r="C1" s="13" t="inlineStr">
        <is>
          <t>판정 내용</t>
        </is>
      </c>
    </row>
    <row r="2">
      <c r="A2" s="61" t="n">
        <v>5</v>
      </c>
      <c r="B2" s="14" t="inlineStr">
        <is>
          <t>R_CHART_FIRST</t>
        </is>
      </c>
      <c r="C2" s="21" t="inlineStr">
        <is>
          <t>R chart unstable -&gt; mean chart interpretation deferred</t>
        </is>
      </c>
    </row>
    <row r="3">
      <c r="A3" s="62" t="n">
        <v>6</v>
      </c>
      <c r="B3" s="17" t="inlineStr">
        <is>
          <t>DEPLOY_BLOCKED</t>
        </is>
      </c>
      <c r="C3" s="63" t="inlineStr">
        <is>
          <t>process not in stable state -&gt; operational control chart deployment not allowed</t>
        </is>
      </c>
    </row>
    <row r="4">
      <c r="A4" s="61" t="n">
        <v>14</v>
      </c>
      <c r="B4" s="14" t="inlineStr">
        <is>
          <t>NORMality_STRICT</t>
        </is>
      </c>
      <c r="C4" s="21" t="inlineStr">
        <is>
          <t>strict_company_mode + non-normal -&gt; cause analysis, action, recollection required</t>
        </is>
      </c>
    </row>
    <row r="5">
      <c r="A5" s="62" t="n">
        <v>15</v>
      </c>
      <c r="B5" s="17" t="inlineStr">
        <is>
          <t>CAPABILITY_CENTERING</t>
        </is>
      </c>
      <c r="C5" s="63" t="inlineStr">
        <is>
          <t>Cp&gt;=1.33 and Cpk&lt;1.33 -&gt; centering improvement recommended</t>
        </is>
      </c>
    </row>
    <row r="6">
      <c r="A6" s="61" t="n">
        <v>30</v>
      </c>
      <c r="B6" s="14" t="inlineStr">
        <is>
          <t>STAGE_CAPABILITY</t>
        </is>
      </c>
      <c r="C6" s="21" t="inlineStr">
        <is>
          <t>stage=mass_production -&gt; CpCpk rule applied (threshold width=1.33, center=1.33)</t>
        </is>
      </c>
    </row>
  </sheetData>
  <mergeCells count="6">
    <mergeCell ref="C6:D6"/>
    <mergeCell ref="C2:D2"/>
    <mergeCell ref="C1:D1"/>
    <mergeCell ref="C5:D5"/>
    <mergeCell ref="C3:D3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3" t="inlineStr">
        <is>
          <t>항목</t>
        </is>
      </c>
      <c r="B1" s="13" t="inlineStr">
        <is>
          <t>판정 결과</t>
        </is>
      </c>
    </row>
    <row r="2">
      <c r="A2" s="11" t="inlineStr">
        <is>
          <t>공정상태</t>
        </is>
      </c>
      <c r="B2" s="64" t="inlineStr">
        <is>
          <t>판정불가</t>
        </is>
      </c>
    </row>
    <row r="3">
      <c r="A3" s="11" t="inlineStr">
        <is>
          <t>정규성</t>
        </is>
      </c>
      <c r="B3" s="64" t="inlineStr">
        <is>
          <t>비정규</t>
        </is>
      </c>
    </row>
    <row r="4">
      <c r="A4" s="11" t="inlineStr">
        <is>
          <t>공정능력</t>
        </is>
      </c>
      <c r="B4" s="64" t="inlineStr">
        <is>
          <t>부족</t>
        </is>
      </c>
    </row>
    <row r="5">
      <c r="A5" s="11" t="inlineStr">
        <is>
          <t>관리도 적용</t>
        </is>
      </c>
      <c r="B5" s="64" t="inlineStr">
        <is>
          <t>불가</t>
        </is>
      </c>
    </row>
    <row r="6">
      <c r="A6" s="11" t="inlineStr">
        <is>
          <t>우선 조치</t>
        </is>
      </c>
      <c r="B6" s="65" t="inlineStr">
        <is>
          <t>데이터 재수집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9" t="inlineStr">
        <is>
          <t>■ 경영진 요약</t>
        </is>
      </c>
    </row>
    <row r="2" ht="76" customHeight="1">
      <c r="A2" s="20" t="inlineStr">
        <is>
          <t>본 공정은 해석용 관리도 기준으로 안정상태가 확인되지 않았습니다. 특히 산포 관리도에서 이상신호가 확인되어 현재 관리한계선을 기반으로 한 현장 운영은 부적절합니다. 이 경우 평균 위치 해석보다 산포 원인 제거가 우선이며, 공정 안정화 후 재수집 데이터를 기준으로 관리한계선을 다시 설정해야 합니다. 공정 산포(폭)는 기준을 만족하나 중심 지수가 부족합니다. 산포 개선보다 규격 중심 대비 평균 위치 조정(centering)이 우선 과제입니다.</t>
        </is>
      </c>
    </row>
    <row r="3"/>
    <row r="4">
      <c r="A4" s="19" t="inlineStr">
        <is>
          <t>■ 관리도 해석</t>
        </is>
      </c>
    </row>
    <row r="5" ht="36" customHeight="1">
      <c r="A5" s="20" t="inlineStr">
        <is>
          <t>관리도에서 관리한계 이탈, 중심선 편향, 과도한 산포 등 4건의 이상 패턴이 감지되었습니다. R(산포) 관리도 불안정 — 평균 관리도 해석 보류, 산포 원인 제거 우선</t>
        </is>
      </c>
    </row>
    <row r="6"/>
    <row r="7">
      <c r="A7" s="19" t="inlineStr">
        <is>
          <t>■ 정규성 해석</t>
        </is>
      </c>
    </row>
    <row r="8" ht="48" customHeight="1">
      <c r="A8" s="20" t="inlineStr">
        <is>
          <t>데이터가 정규분포 가정에서 벗어났습니다. 단순 p-value 판정에 그치지 말고 원인을 파악하고 조치한 뒤 데이터를 재수집하여 재분석하십시오. (검정: Shapiro-Wilk, p=0.0416, QQ: 정규확률도 직선성 양호(R²≈0.976))</t>
        </is>
      </c>
    </row>
    <row r="9"/>
    <row r="10">
      <c r="A10" s="19" t="inlineStr">
        <is>
          <t>■ 공정능력 해석</t>
        </is>
      </c>
    </row>
    <row r="11" ht="62" customHeight="1">
      <c r="A11" s="20" t="inlineStr">
        <is>
          <t>현재 지표는 Cp/Cpk 기준 잠재 공정능력 해석이 중심입니다. 공정 산포(폭)는 기준을 만족하나 중심 지수가 부족합니다. 산포 개선보다 규격 중심 대비 평균 위치 조정(centering)이 우선 과제입니다. Cp=1.394, Cpk=1.167 (기준 Cp/Cpk≥1.33)</t>
        </is>
      </c>
    </row>
    <row r="12"/>
    <row r="13">
      <c r="A13" s="19" t="inlineStr">
        <is>
          <t>■ 후속조치 가이드</t>
        </is>
      </c>
    </row>
    <row r="14" ht="36" customHeight="1">
      <c r="A14" s="20" t="inlineStr">
        <is>
          <t>우선 조치: 데이터 재수집 → 중심 이동</t>
        </is>
      </c>
    </row>
    <row r="15"/>
    <row r="16">
      <c r="A16" s="19" t="inlineStr">
        <is>
          <t>■ 현장 실무자 해석</t>
        </is>
      </c>
    </row>
    <row r="17" ht="48" customHeight="1">
      <c r="A17" s="20" t="inlineStr">
        <is>
          <t>이번 결과는 평균이 약간 벗어난 문제라기보다 공정 흔들림이 크다는 의미에 가깝습니다. 먼저 설비 상태, 치공구, 자재, 측정 이상 여부를 점검해 산포를 키우는 원인을 줄이는 것이 우선입니다.</t>
        </is>
      </c>
    </row>
  </sheetData>
  <mergeCells count="12">
    <mergeCell ref="A4:B4"/>
    <mergeCell ref="A2:B2"/>
    <mergeCell ref="A16:B16"/>
    <mergeCell ref="A7:B7"/>
    <mergeCell ref="A11:B11"/>
    <mergeCell ref="A10:B10"/>
    <mergeCell ref="A5:B5"/>
    <mergeCell ref="A13:B13"/>
    <mergeCell ref="A14:B14"/>
    <mergeCell ref="A1:B1"/>
    <mergeCell ref="A17:B17"/>
    <mergeCell ref="A8:B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3" t="inlineStr">
        <is>
          <t>점검 항목</t>
        </is>
      </c>
      <c r="B1" s="13" t="inlineStr">
        <is>
          <t>결과</t>
        </is>
      </c>
    </row>
    <row r="2">
      <c r="A2" s="11" t="inlineStr">
        <is>
          <t>Pre-control 권고</t>
        </is>
      </c>
      <c r="B2" s="21" t="inlineStr">
        <is>
          <t>X-bar 계열 운용 — Pre-control Chart는 보조 수단으로 검토</t>
        </is>
      </c>
    </row>
    <row r="3">
      <c r="A3" s="11" t="inlineStr">
        <is>
          <t>기계성능 필요</t>
        </is>
      </c>
      <c r="B3" s="21" t="inlineStr">
        <is>
          <t>아니오</t>
        </is>
      </c>
    </row>
    <row r="4">
      <c r="A4" s="11" t="inlineStr">
        <is>
          <t>Cm/Cmk 모듈</t>
        </is>
      </c>
      <c r="B4" s="21" t="inlineStr">
        <is>
          <t>Cm/Cmk calculation module not implemented yet.</t>
        </is>
      </c>
    </row>
    <row r="5">
      <c r="A5" s="11" t="inlineStr">
        <is>
          <t>리포트 완전성</t>
        </is>
      </c>
      <c r="B5" s="22" t="inlineStr">
        <is>
          <t>✓ 완전</t>
        </is>
      </c>
    </row>
    <row r="6">
      <c r="A6" s="11" t="inlineStr">
        <is>
          <t>누락 항목</t>
        </is>
      </c>
      <c r="B6" s="21" t="inlineStr">
        <is>
          <t>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2026-06-09T08:44:43Z</dcterms:created>
  <dcterms:modified xmlns:dcterms="http://purl.org/dc/terms/" xmlns:xsi="http://www.w3.org/2001/XMLSchema-instance" xsi:type="dcterms:W3CDTF">2026-06-09T08:44:43Z</dcterms:modified>
</cp:coreProperties>
</file>